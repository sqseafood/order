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per4\Desktop\preorder_app\"/>
    </mc:Choice>
  </mc:AlternateContent>
  <bookViews>
    <workbookView xWindow="0" yWindow="0" windowWidth="24000" windowHeight="9600"/>
  </bookViews>
  <sheets>
    <sheet name="Price List by Category" sheetId="1" r:id="rId1"/>
    <sheet name="Alphabetical Index" sheetId="2" r:id="rId2"/>
    <sheet name="Sheet1" sheetId="3" r:id="rId3"/>
    <sheet name="Sheet2" sheetId="4" r:id="rId4"/>
  </sheets>
  <definedNames>
    <definedName name="test" localSheetId="2">Sheet1!$A$1:$H$672</definedName>
    <definedName name="test" localSheetId="3">Sheet2!$A$1:$H$650</definedName>
  </definedNames>
  <calcPr calcId="162913"/>
</workbook>
</file>

<file path=xl/calcChain.xml><?xml version="1.0" encoding="utf-8"?>
<calcChain xmlns="http://schemas.openxmlformats.org/spreadsheetml/2006/main">
  <c r="K34" i="1" l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7" i="1"/>
</calcChain>
</file>

<file path=xl/connections.xml><?xml version="1.0" encoding="utf-8"?>
<connections xmlns="http://schemas.openxmlformats.org/spreadsheetml/2006/main">
  <connection id="1" name="test" type="6" refreshedVersion="6" background="1" saveData="1">
    <textPr codePage="437" sourceFile="C:\Users\oper4\Desktop\test.prn" delimited="0">
      <textFields count="8">
        <textField/>
        <textField position="31"/>
        <textField position="36"/>
        <textField position="58"/>
        <textField position="69"/>
        <textField position="80"/>
        <textField position="88"/>
        <textField position="97"/>
      </textFields>
    </textPr>
  </connection>
</connections>
</file>

<file path=xl/sharedStrings.xml><?xml version="1.0" encoding="utf-8"?>
<sst xmlns="http://schemas.openxmlformats.org/spreadsheetml/2006/main" count="6908" uniqueCount="974">
  <si>
    <t>SEAQUEST SEAFOOD CORPORATION</t>
  </si>
  <si>
    <t>Tel: 626-968-8188  Fax: 626-968-8811  www.sqseafood.com</t>
  </si>
  <si>
    <t>Effective Date: March 03, 2026</t>
  </si>
  <si>
    <t>▶ OCTOPUS &amp; SQUID</t>
  </si>
  <si>
    <t>Product Description</t>
  </si>
  <si>
    <t>Vietnamese</t>
  </si>
  <si>
    <t>Item #</t>
  </si>
  <si>
    <t>Unit Price</t>
  </si>
  <si>
    <t>Packaging</t>
  </si>
  <si>
    <t>Origin</t>
  </si>
  <si>
    <t>Method</t>
  </si>
  <si>
    <t>Weight (lbs)</t>
  </si>
  <si>
    <t>Pack</t>
  </si>
  <si>
    <t>Pack Type</t>
  </si>
  <si>
    <t>BABY LOLIGO SQUID R/P (30)</t>
  </si>
  <si>
    <t>MUC ONG NHOI</t>
  </si>
  <si>
    <t>F0403</t>
  </si>
  <si>
    <t>30 X 14 OZ</t>
  </si>
  <si>
    <t>CHINA</t>
  </si>
  <si>
    <t>WILD</t>
  </si>
  <si>
    <t>VP</t>
  </si>
  <si>
    <t>Retail</t>
  </si>
  <si>
    <t>BABY OCTOPUS DS 16/25 (24)</t>
  </si>
  <si>
    <t>BACH TUOC 2 DA</t>
  </si>
  <si>
    <t>F0296</t>
  </si>
  <si>
    <t>12 X 2 LB</t>
  </si>
  <si>
    <t>VIETNAM</t>
  </si>
  <si>
    <t>BABY OCTOPUS DS 5/15 (24)</t>
  </si>
  <si>
    <t>F0295</t>
  </si>
  <si>
    <t>BABY OCTOPUS SS 16/25 (12x2)</t>
  </si>
  <si>
    <t>BACH TUOC 1 DA</t>
  </si>
  <si>
    <t>F0291</t>
  </si>
  <si>
    <t>BABY OCTOPUS SS 5/15 (12x2)</t>
  </si>
  <si>
    <t>F0290</t>
  </si>
  <si>
    <t>BONO SQUID IQF (22.05)</t>
  </si>
  <si>
    <t>MUC ONG CALIFORNIA</t>
  </si>
  <si>
    <t>F0423</t>
  </si>
  <si>
    <t>1 X 22 LB</t>
  </si>
  <si>
    <t>USA</t>
  </si>
  <si>
    <t>Bulk</t>
  </si>
  <si>
    <t>CALAMARI SQUID RINGS (30)</t>
  </si>
  <si>
    <t xml:space="preserve">KHOANH MUC </t>
  </si>
  <si>
    <t>F0416</t>
  </si>
  <si>
    <t>30 X 16 OZ</t>
  </si>
  <si>
    <t>CALIFORNIA SQUID W/R (36)</t>
  </si>
  <si>
    <t>MUC ONG NGUYEN CON</t>
  </si>
  <si>
    <t>F0421</t>
  </si>
  <si>
    <t>12 X 3 LB</t>
  </si>
  <si>
    <t>Box</t>
  </si>
  <si>
    <t>CLN GIANT CUTTLEFISH 2/4 (22)</t>
  </si>
  <si>
    <t>MUC NANG LAM SACH</t>
  </si>
  <si>
    <t>F2282</t>
  </si>
  <si>
    <t>INDIA</t>
  </si>
  <si>
    <t>CLN GIANT CUTTLEFISH 4/6 (22)</t>
  </si>
  <si>
    <t>F2283</t>
  </si>
  <si>
    <t>CURLED CALAMARI CHUNK (30)</t>
  </si>
  <si>
    <t>MUC XOAN</t>
  </si>
  <si>
    <t>F0417</t>
  </si>
  <si>
    <t>LOLIGO ROLL 10/15cm (30)</t>
  </si>
  <si>
    <t>MUC ONG LOLIGO</t>
  </si>
  <si>
    <t>F0426</t>
  </si>
  <si>
    <t>INDONESIA</t>
  </si>
  <si>
    <t>LOLIGO ROLL 15/20cm (30)</t>
  </si>
  <si>
    <t>F0427</t>
  </si>
  <si>
    <t>OOS</t>
  </si>
  <si>
    <t>LOLIGO ROLL 20/25cm (30)</t>
  </si>
  <si>
    <t>F0428</t>
  </si>
  <si>
    <t>20 X 24 OZ</t>
  </si>
  <si>
    <t>LOLIGO SQUID T&amp;T 3/5 (50)</t>
  </si>
  <si>
    <t>MUC NGUYEN CON</t>
  </si>
  <si>
    <t>F0410</t>
  </si>
  <si>
    <t>20 X 2.5#</t>
  </si>
  <si>
    <t>LOLIGO SQUID TENTACLES (30)</t>
  </si>
  <si>
    <t>RAU MUC</t>
  </si>
  <si>
    <t>F0413</t>
  </si>
  <si>
    <t>LOLIGO SQUID TUBES 3/5 (50)</t>
  </si>
  <si>
    <t>THAN MUC ONG</t>
  </si>
  <si>
    <t>F0412</t>
  </si>
  <si>
    <t>LOLIGO TENTACLES 10/20g (30)</t>
  </si>
  <si>
    <t>F0414</t>
  </si>
  <si>
    <t>LOLIGO TENTACLES 20/30g (30)</t>
  </si>
  <si>
    <t>F0415</t>
  </si>
  <si>
    <t>F04141</t>
  </si>
  <si>
    <t>LOLIGO TENTACLES 40/60g (30)</t>
  </si>
  <si>
    <t>F04143</t>
  </si>
  <si>
    <t>LOLIGO TENTACLES 60/80g (30)</t>
  </si>
  <si>
    <t>F04144</t>
  </si>
  <si>
    <t>OCTOPUS 1/2# (30)</t>
  </si>
  <si>
    <t>BACH TUOC LON</t>
  </si>
  <si>
    <t>F0270</t>
  </si>
  <si>
    <t>1 X 30 LB</t>
  </si>
  <si>
    <t>IWP</t>
  </si>
  <si>
    <t>OCTOPUS 2/4# (30)</t>
  </si>
  <si>
    <t>F0271</t>
  </si>
  <si>
    <t>OCTOPUS 4/6# (30)</t>
  </si>
  <si>
    <t>F0272</t>
  </si>
  <si>
    <t>OCTOPUS 6/8# (30)</t>
  </si>
  <si>
    <t>F0273</t>
  </si>
  <si>
    <t>SQUID TENTACLE SLICE (30)</t>
  </si>
  <si>
    <t>F0418</t>
  </si>
  <si>
    <t>PERU</t>
  </si>
  <si>
    <t>Bag</t>
  </si>
  <si>
    <t>▶ SHRIMP &amp; PRAWNS</t>
  </si>
  <si>
    <t>GIANT PRAWN BLC 2/4 (24)</t>
  </si>
  <si>
    <t>TOM CANG</t>
  </si>
  <si>
    <t>F0172</t>
  </si>
  <si>
    <t>FARMED</t>
  </si>
  <si>
    <t>GIANT PRAWN BLC 4/6 (24)</t>
  </si>
  <si>
    <t>F0173</t>
  </si>
  <si>
    <t>GIANT PRAWN BLC 6/8 (24)</t>
  </si>
  <si>
    <t>F0174</t>
  </si>
  <si>
    <t>GIANT PRAWN BLC 8/12 (24)</t>
  </si>
  <si>
    <t>F0175</t>
  </si>
  <si>
    <t>KRILL / BABY SHRIMPS (60x7oz)</t>
  </si>
  <si>
    <t>TEP BO</t>
  </si>
  <si>
    <t>F0701</t>
  </si>
  <si>
    <t>60 X 7 OZ</t>
  </si>
  <si>
    <t>KRILL / TINY SHRIMPS (60x7oz)</t>
  </si>
  <si>
    <t>RUOC TUOI</t>
  </si>
  <si>
    <t>F0705</t>
  </si>
  <si>
    <t>KRILL / WHITE SHRIMPS (60x7oz)</t>
  </si>
  <si>
    <t>TEP BAC</t>
  </si>
  <si>
    <t>F0703</t>
  </si>
  <si>
    <t>WHT SHRIMP HLSO 26/30 (40)</t>
  </si>
  <si>
    <t>TOM TRANG KHONG DAU</t>
  </si>
  <si>
    <t>F2022</t>
  </si>
  <si>
    <t>10 X 4 LB</t>
  </si>
  <si>
    <t>ECUADOR</t>
  </si>
  <si>
    <t>WHT SHRIMP HLSO 31/35 (40)</t>
  </si>
  <si>
    <t>F2023</t>
  </si>
  <si>
    <t>WHT SHRIMP HOSO 30/40 (40)</t>
  </si>
  <si>
    <t>TOM TRANG CON DAU</t>
  </si>
  <si>
    <t>F2014</t>
  </si>
  <si>
    <t>10  X 4 LB</t>
  </si>
  <si>
    <t>WHT SHRIMP HOSO 40/50 (40)</t>
  </si>
  <si>
    <t>F2015</t>
  </si>
  <si>
    <t>WHT SHRIMP HOSO CPM 20/30 (24)</t>
  </si>
  <si>
    <t>TOM TRANG CON DAU CHAMPMAR</t>
  </si>
  <si>
    <t>F2017</t>
  </si>
  <si>
    <t>6 X 4 LB</t>
  </si>
  <si>
    <t>WHT SHRIMP HOSO CPM 30/40 (24)</t>
  </si>
  <si>
    <t>F2018</t>
  </si>
  <si>
    <t>WHT SHRIMP HOSO CPM 40/50 (24)</t>
  </si>
  <si>
    <t>F2019</t>
  </si>
  <si>
    <t>WHT SHRIMP HOSO CPM 50/60 (24)</t>
  </si>
  <si>
    <t>F2016</t>
  </si>
  <si>
    <t>▶ SEAFOOD MIXES</t>
  </si>
  <si>
    <t>MIXED SEAFOODS (24x16oz)</t>
  </si>
  <si>
    <t>HAI SAN THAP CAM</t>
  </si>
  <si>
    <t>F0715</t>
  </si>
  <si>
    <t>NJ</t>
  </si>
  <si>
    <t>24 X 16 OZ</t>
  </si>
  <si>
    <t>MIXED SEAFOODS BLANCHED (30x14</t>
  </si>
  <si>
    <t>F0710</t>
  </si>
  <si>
    <t>PREMIUM SEAFOOD MIX (30)</t>
  </si>
  <si>
    <t>F0712</t>
  </si>
  <si>
    <t>▶ CRAB</t>
  </si>
  <si>
    <t>CRAB CLAWS MEAT (24)</t>
  </si>
  <si>
    <t>THIT CANG GHE</t>
  </si>
  <si>
    <t>F1111</t>
  </si>
  <si>
    <t>24 X 12 OZ</t>
  </si>
  <si>
    <t>Jar</t>
  </si>
  <si>
    <t>CRAB LUMPS &amp; SPECIAL (24)</t>
  </si>
  <si>
    <t>THIT CUA TRANG</t>
  </si>
  <si>
    <t>F1110</t>
  </si>
  <si>
    <t>FIELD CRAB WHOLE (30)</t>
  </si>
  <si>
    <t>CUA DONG NGUYEN CON</t>
  </si>
  <si>
    <t>F1119</t>
  </si>
  <si>
    <t>IMITATION CRAB FLAKE (30x16)</t>
  </si>
  <si>
    <t>THANH CUA</t>
  </si>
  <si>
    <t>F0722</t>
  </si>
  <si>
    <t>IMITATION CRAB STICK (30)</t>
  </si>
  <si>
    <t>F0720</t>
  </si>
  <si>
    <t>▶POMFRET</t>
  </si>
  <si>
    <t>BLACK POMFRET 500/800 (40)</t>
  </si>
  <si>
    <t>CA CHIM DEN</t>
  </si>
  <si>
    <t>F0058</t>
  </si>
  <si>
    <t>1 X 40 LB</t>
  </si>
  <si>
    <t>BLACK POMFRET 800/UP (40)</t>
  </si>
  <si>
    <t>F0059</t>
  </si>
  <si>
    <t>GOLDEN POMFRET 400/600 (40)</t>
  </si>
  <si>
    <t>CA CHIM VANG</t>
  </si>
  <si>
    <t>F0050</t>
  </si>
  <si>
    <t>GOLDEN POMFRET 600/800 (40)</t>
  </si>
  <si>
    <t>F0051</t>
  </si>
  <si>
    <t>GOLDEN POMFRET 800/UP (40)</t>
  </si>
  <si>
    <t>F0052</t>
  </si>
  <si>
    <t>GOLDEN POMFRET 900/UP(40)</t>
  </si>
  <si>
    <t>F0053</t>
  </si>
  <si>
    <t>GOLDEN POMFRET1100/UP (40)</t>
  </si>
  <si>
    <t>F0054</t>
  </si>
  <si>
    <t>▶ FROG LEGS</t>
  </si>
  <si>
    <t>FROG LEGS 2/4 BOX (30)</t>
  </si>
  <si>
    <t>DUI ECH CHINA</t>
  </si>
  <si>
    <t>F1081</t>
  </si>
  <si>
    <t>6 X 5 LB</t>
  </si>
  <si>
    <t>FROG LEGS 2/4 VN (30)</t>
  </si>
  <si>
    <t>DUI ECH</t>
  </si>
  <si>
    <t>F1091</t>
  </si>
  <si>
    <t>FROG LEGS 4/6 BOX (30)</t>
  </si>
  <si>
    <t>F1082</t>
  </si>
  <si>
    <t>FROG LEGS 4/6 R/P (30x16)</t>
  </si>
  <si>
    <t>F1086</t>
  </si>
  <si>
    <t>FROG LEGS 4/6 VN (30)</t>
  </si>
  <si>
    <t>F1092</t>
  </si>
  <si>
    <t>FROG LEGS 6/8 BOX (30)</t>
  </si>
  <si>
    <t>F1083</t>
  </si>
  <si>
    <t>FROG LEGS 6/8 VN (30)</t>
  </si>
  <si>
    <t>F1093</t>
  </si>
  <si>
    <t>FROG LEGS 8/12 BOX (30)</t>
  </si>
  <si>
    <t>F1084</t>
  </si>
  <si>
    <t>FROG SECTIONS IN SPICY SAUCE (</t>
  </si>
  <si>
    <t>F1088</t>
  </si>
  <si>
    <t>20 X 1.1LB</t>
  </si>
  <si>
    <t>▶ CLAMS &amp; SHELLFISH</t>
  </si>
  <si>
    <t>BLK MUSSEL MEAT (20)</t>
  </si>
  <si>
    <t xml:space="preserve">THIT VEM </t>
  </si>
  <si>
    <t>F0766</t>
  </si>
  <si>
    <t>10 X 2 LB</t>
  </si>
  <si>
    <t>CHILE</t>
  </si>
  <si>
    <t>BLK MUSSEL WHOLE (20)</t>
  </si>
  <si>
    <t>VEM NGUYEN CON</t>
  </si>
  <si>
    <t>F0768</t>
  </si>
  <si>
    <t>20 X 16 OZ</t>
  </si>
  <si>
    <t>GRN MUSSEL H/S Med  (24)</t>
  </si>
  <si>
    <t>VEM NUA MANH</t>
  </si>
  <si>
    <t>F0764</t>
  </si>
  <si>
    <t>NEW ZLAND</t>
  </si>
  <si>
    <t>CKD BABY CLAM MEAT (30)</t>
  </si>
  <si>
    <t>THIT HEN</t>
  </si>
  <si>
    <t>F0012</t>
  </si>
  <si>
    <t>CKD CLAM MEAT 200/300 (30)</t>
  </si>
  <si>
    <t>THIT NGHEU</t>
  </si>
  <si>
    <t>F0016</t>
  </si>
  <si>
    <t>CKD CLAM MEAT 300/500 (30)</t>
  </si>
  <si>
    <t>F0017</t>
  </si>
  <si>
    <t>CKD WHL WHT CLAM 11/16 (10x1)</t>
  </si>
  <si>
    <t xml:space="preserve">NGHEU </t>
  </si>
  <si>
    <t>F0745</t>
  </si>
  <si>
    <t>10 X 16 OZ</t>
  </si>
  <si>
    <t>CKD WHL WHT CLAM 11/16 (10x2)</t>
  </si>
  <si>
    <t>F0741</t>
  </si>
  <si>
    <t>CKD WHL WHT CLAM 17/22 (10x2)</t>
  </si>
  <si>
    <t>F0742</t>
  </si>
  <si>
    <t>CKD WHL WHT CLAM 23/30 (10x2)</t>
  </si>
  <si>
    <t>F0747</t>
  </si>
  <si>
    <t>COOKED ABALONE 41/45g (30)</t>
  </si>
  <si>
    <t>BAO NGU</t>
  </si>
  <si>
    <t>F0802</t>
  </si>
  <si>
    <t>30 X 8 OZ</t>
  </si>
  <si>
    <t>COOKED ABALONE 61/65g (30)</t>
  </si>
  <si>
    <t>F0805</t>
  </si>
  <si>
    <t>COOKED COCONUT TOPSNAIL (24)</t>
  </si>
  <si>
    <t>OC LEN XAO DUA</t>
  </si>
  <si>
    <t>F0021</t>
  </si>
  <si>
    <t>TOPSNAIL TAIL-OFF (24)</t>
  </si>
  <si>
    <t>OC LEN CHAT DUOI</t>
  </si>
  <si>
    <t>F0023</t>
  </si>
  <si>
    <t>COOKED SNAIL MEAT (30)</t>
  </si>
  <si>
    <t>THIT OC BUOU</t>
  </si>
  <si>
    <t>F0035</t>
  </si>
  <si>
    <t>CROWN CONCH 40/60 (30)</t>
  </si>
  <si>
    <t>OC VUONG MIEN/ OC GAI</t>
  </si>
  <si>
    <t>F0791</t>
  </si>
  <si>
    <t>HS ARKSHELL CLAM 20/30 (24)</t>
  </si>
  <si>
    <t>SO LONG NUA MANH</t>
  </si>
  <si>
    <t>F0777</t>
  </si>
  <si>
    <t>MELO SNAIL/CONCH  MEAT (20x1.5</t>
  </si>
  <si>
    <t>THIT OC GIAC</t>
  </si>
  <si>
    <t>F0037</t>
  </si>
  <si>
    <t>20 X1.5 LB</t>
  </si>
  <si>
    <t>PERIWINKLE IN GARLIC BUTTER (2</t>
  </si>
  <si>
    <t>OC HUONG XAO BO TOI</t>
  </si>
  <si>
    <t>F0793</t>
  </si>
  <si>
    <t>24 X 14 OZ</t>
  </si>
  <si>
    <t>PERIWINKLE IN TAMARIN SAUCE (2</t>
  </si>
  <si>
    <t>OC HUONG XAO ME</t>
  </si>
  <si>
    <t>F0792</t>
  </si>
  <si>
    <t>PERIWINKLE MEAT 40/60 (30)</t>
  </si>
  <si>
    <t>THIT OC HUONG</t>
  </si>
  <si>
    <t>F0030</t>
  </si>
  <si>
    <t>PERIWINKLE SNAIL R/P (30)</t>
  </si>
  <si>
    <t>OC HUONG NGUYEN CON</t>
  </si>
  <si>
    <t>F0786</t>
  </si>
  <si>
    <t>30 X 12 OZ</t>
  </si>
  <si>
    <t>SHORT NECK CLAM 11/20 (20)</t>
  </si>
  <si>
    <t>F0757</t>
  </si>
  <si>
    <t>WHELK SNAIL 30/50 (22)</t>
  </si>
  <si>
    <t>OC BULOT</t>
  </si>
  <si>
    <t>F0783</t>
  </si>
  <si>
    <t>NORWAY</t>
  </si>
  <si>
    <t>WHL APPLE SNAIL (30)</t>
  </si>
  <si>
    <t>OC BUOU NGUYEN CON</t>
  </si>
  <si>
    <t>F0780</t>
  </si>
  <si>
    <t>20 X 1.5#</t>
  </si>
  <si>
    <t>▶ TILAPIA</t>
  </si>
  <si>
    <t>PM TILAPIA FILET BULK 3/5 (10)</t>
  </si>
  <si>
    <t xml:space="preserve">PHI LE CA RO PHI </t>
  </si>
  <si>
    <t>F1066</t>
  </si>
  <si>
    <t>1 X 10 LB</t>
  </si>
  <si>
    <t>IQF</t>
  </si>
  <si>
    <t>PM TILAPIA FILET BULK 5/7 (10)</t>
  </si>
  <si>
    <t>F1067</t>
  </si>
  <si>
    <t>PM TILAPIA FILET IVP 3/5 (10)</t>
  </si>
  <si>
    <t>F1061</t>
  </si>
  <si>
    <t>PM TILAPIA FILET IVP 5/7 (10)</t>
  </si>
  <si>
    <t>F1062</t>
  </si>
  <si>
    <t>PM TILAPIA FILET IVP 7/9 (10)</t>
  </si>
  <si>
    <t>F1063</t>
  </si>
  <si>
    <t>RED TILAPIA TWN 600/800 (40)</t>
  </si>
  <si>
    <t>CA DIEU HONG</t>
  </si>
  <si>
    <t>F0040</t>
  </si>
  <si>
    <t>TAIWAN</t>
  </si>
  <si>
    <t>RED TILAPIA TWN 800/UP  (40)</t>
  </si>
  <si>
    <t>F0041</t>
  </si>
  <si>
    <t>TILAPIA FILLET R/P (20)</t>
  </si>
  <si>
    <t>F1064</t>
  </si>
  <si>
    <t>TILAPIA G&amp;S 550/750 (40)</t>
  </si>
  <si>
    <t>CA RO PHI VN</t>
  </si>
  <si>
    <t>F1041</t>
  </si>
  <si>
    <t>1 X 40 IWP</t>
  </si>
  <si>
    <t>F1047</t>
  </si>
  <si>
    <t>THAILAND</t>
  </si>
  <si>
    <t>TILAPIA G&amp;S 750/950 (40)</t>
  </si>
  <si>
    <t>F1042</t>
  </si>
  <si>
    <t>F1048</t>
  </si>
  <si>
    <t>TILAPIA G&amp;S CHN 1200/1500 (40)</t>
  </si>
  <si>
    <t>CA RO PHI CHN</t>
  </si>
  <si>
    <t>F10555</t>
  </si>
  <si>
    <t>TILAPIA G&amp;S CHN 1500/2000 (40)</t>
  </si>
  <si>
    <t>F10556</t>
  </si>
  <si>
    <t>TILAPIA G&amp;S CHN 350/550 (10x3)</t>
  </si>
  <si>
    <t>F1050</t>
  </si>
  <si>
    <t>10 X 3 LB</t>
  </si>
  <si>
    <t>TILAPIA G&amp;S CHN 550/750 (40)</t>
  </si>
  <si>
    <t>F1053</t>
  </si>
  <si>
    <t>TILAPIA G&amp;S CHN 750/950 (40)</t>
  </si>
  <si>
    <t>F1054</t>
  </si>
  <si>
    <t>TILAPIA G&amp;S CHN 950/1200 (40)</t>
  </si>
  <si>
    <t>F1055</t>
  </si>
  <si>
    <t>TILAPIA G&amp;S TWN 550/750 (40)</t>
  </si>
  <si>
    <t>CA RO PHI TWN</t>
  </si>
  <si>
    <t>F1057</t>
  </si>
  <si>
    <t>TILAPIA G&amp;S TWN 750/950 (40)</t>
  </si>
  <si>
    <t>F1058</t>
  </si>
  <si>
    <t>TILAPIA WR TWN 600/800 (40)</t>
  </si>
  <si>
    <t>F0047</t>
  </si>
  <si>
    <t>TILAPIA WR TWN 800/1000 (40)</t>
  </si>
  <si>
    <t>F0048</t>
  </si>
  <si>
    <t>▶ SWAI / CATFISH</t>
  </si>
  <si>
    <t>CHAN CATFISH FILLET 5/7 (15)</t>
  </si>
  <si>
    <t>PHI LE CA BONG LAU</t>
  </si>
  <si>
    <t>F1142</t>
  </si>
  <si>
    <t>1 X 15 LB</t>
  </si>
  <si>
    <t>CHAN CATFISH FILLET 7/9 (15)</t>
  </si>
  <si>
    <t>F1143</t>
  </si>
  <si>
    <t>FB SWAI FILET LP 10/12 (22)</t>
  </si>
  <si>
    <t xml:space="preserve">PHI LE CA BASA </t>
  </si>
  <si>
    <t>F1828</t>
  </si>
  <si>
    <t>2 X 11 LB</t>
  </si>
  <si>
    <t>Block</t>
  </si>
  <si>
    <t>FB SWAI FILET LP 8/10 (22)</t>
  </si>
  <si>
    <t>F1827</t>
  </si>
  <si>
    <t>PG SWAI FILET IQF 5/7</t>
  </si>
  <si>
    <t>F1922</t>
  </si>
  <si>
    <t>PG SWAI FILET IQF 7/9</t>
  </si>
  <si>
    <t>F1923</t>
  </si>
  <si>
    <t>PG SWAI FILET IQF 9/11</t>
  </si>
  <si>
    <t>F1924</t>
  </si>
  <si>
    <t>SWAI FISH STEAK (15x2#)</t>
  </si>
  <si>
    <t>CA BASA CAT KHOANH</t>
  </si>
  <si>
    <t>F0600</t>
  </si>
  <si>
    <t>15 X 2 LB</t>
  </si>
  <si>
    <t>SWAI HEAD-ON G&amp;G (33)</t>
  </si>
  <si>
    <t>CA BASA NGUYEN CON</t>
  </si>
  <si>
    <t>F0603</t>
  </si>
  <si>
    <t>1 X 33 LB</t>
  </si>
  <si>
    <t>SWAI HEADLESS WHLCUT (30)</t>
  </si>
  <si>
    <t>CA BASA CAT KHUC NGUYEN CON</t>
  </si>
  <si>
    <t>F0601</t>
  </si>
  <si>
    <t>▶ SALMON &amp; COD</t>
  </si>
  <si>
    <t>PAC COD PORTIONS 4oz (10)</t>
  </si>
  <si>
    <t>CA TUYET CAT KHUC</t>
  </si>
  <si>
    <t>F1151</t>
  </si>
  <si>
    <t>PAC COD PORTIONS 5oz (10)</t>
  </si>
  <si>
    <t>F1152</t>
  </si>
  <si>
    <t>SALMON PORTION PINK 4oz (10)</t>
  </si>
  <si>
    <t>CA HOI HONG CAT KHUC</t>
  </si>
  <si>
    <t>F1121</t>
  </si>
  <si>
    <t>SALMON PORTION PINK 5oz (10)</t>
  </si>
  <si>
    <t>F1122</t>
  </si>
  <si>
    <t>SALMON PORTION PINK 6oz (10)</t>
  </si>
  <si>
    <t>F1123</t>
  </si>
  <si>
    <t>▶ FISH - SPECIALTY</t>
  </si>
  <si>
    <t>▶ BARD</t>
  </si>
  <si>
    <t>OLIVE BARB 500/800</t>
  </si>
  <si>
    <t>F0168</t>
  </si>
  <si>
    <t>1 X 33 Lb</t>
  </si>
  <si>
    <t>MYANMAR</t>
  </si>
  <si>
    <t>OLIVE BARB 800/1000</t>
  </si>
  <si>
    <t>CA CHAY DAC LON</t>
  </si>
  <si>
    <t>F0169</t>
  </si>
  <si>
    <t>RIVERBARB 250/300 R/P (30)</t>
  </si>
  <si>
    <t>CA HE</t>
  </si>
  <si>
    <t>F0162</t>
  </si>
  <si>
    <t>SILVERBARB 300/500 (30)</t>
  </si>
  <si>
    <t>CA ME VINH</t>
  </si>
  <si>
    <t>F0154</t>
  </si>
  <si>
    <t>SILVERBARB 500/800</t>
  </si>
  <si>
    <t>F0155</t>
  </si>
  <si>
    <t>▶ BASS</t>
  </si>
  <si>
    <t>LARGE MOUTH BASS 600/800 (40)</t>
  </si>
  <si>
    <t>CA VUOC MIENG RONG</t>
  </si>
  <si>
    <t>F0525</t>
  </si>
  <si>
    <t>LARGE MOUTH BASS 800/UP (40)</t>
  </si>
  <si>
    <t>F0526</t>
  </si>
  <si>
    <t>SEABASS 800/1200 (40)</t>
  </si>
  <si>
    <t>CA VUOC</t>
  </si>
  <si>
    <t>F0437</t>
  </si>
  <si>
    <t>STRIPE BASS 500/800 (25)</t>
  </si>
  <si>
    <t>F0520</t>
  </si>
  <si>
    <t>1 X 25 LB</t>
  </si>
  <si>
    <t>MEXICO</t>
  </si>
  <si>
    <t>STRIPE BASS 800/UP (25)</t>
  </si>
  <si>
    <t>F0521</t>
  </si>
  <si>
    <t>▶ BLUE RUNNER</t>
  </si>
  <si>
    <t>BLUE RUNNER 1-2# (25)</t>
  </si>
  <si>
    <t>F03451</t>
  </si>
  <si>
    <t>BLUE RUNNER 3/4-1# (25)</t>
  </si>
  <si>
    <t>F0345</t>
  </si>
  <si>
    <t>▶ BROADHEAD</t>
  </si>
  <si>
    <t>BROADHEAD GUTTED 100/300 (30)</t>
  </si>
  <si>
    <t>CA TRE NGUYEN CON</t>
  </si>
  <si>
    <t>F0633</t>
  </si>
  <si>
    <t>BROADHEAD GUTTED 500/800</t>
  </si>
  <si>
    <t>F0634</t>
  </si>
  <si>
    <t>BROADHEAD GUTTED 800/UP</t>
  </si>
  <si>
    <t>F0635</t>
  </si>
  <si>
    <t>BROADHEAD H/L (30)</t>
  </si>
  <si>
    <t>CA TRE CAT DAU</t>
  </si>
  <si>
    <t>F0631</t>
  </si>
  <si>
    <t>BROADHEAD STEAKS (30)</t>
  </si>
  <si>
    <t>CA TRE CAT KHOANH</t>
  </si>
  <si>
    <t>F0638</t>
  </si>
  <si>
    <t>▶ CARP</t>
  </si>
  <si>
    <t>RIVER CARP H&amp;G (30)</t>
  </si>
  <si>
    <t>CA THIEU</t>
  </si>
  <si>
    <t>F0191</t>
  </si>
  <si>
    <t>LADY CARP FISH W/R (30)</t>
  </si>
  <si>
    <t>CA LINH NGUYEN CON</t>
  </si>
  <si>
    <t>F0691</t>
  </si>
  <si>
    <t>▶CROAKER</t>
  </si>
  <si>
    <t>YLW CROAKER 600/700 (10)</t>
  </si>
  <si>
    <t>CA SOC VANG</t>
  </si>
  <si>
    <t>F0578</t>
  </si>
  <si>
    <t>IQP</t>
  </si>
  <si>
    <t>▶EEL</t>
  </si>
  <si>
    <t>CONGERPIKE EEL CHUNK (30)</t>
  </si>
  <si>
    <t>CA LAT CAT KHUC</t>
  </si>
  <si>
    <t>F0531</t>
  </si>
  <si>
    <t>YLW EEL CHUNKS (30)</t>
  </si>
  <si>
    <t>LUON CAT KHUC</t>
  </si>
  <si>
    <t>F0071</t>
  </si>
  <si>
    <t>YLW EEL GUTTED W/R (30)</t>
  </si>
  <si>
    <t>LUON NGUYEN CON LAM SACH</t>
  </si>
  <si>
    <t>F0072</t>
  </si>
  <si>
    <t>YLW EEL STRIPS (30)</t>
  </si>
  <si>
    <t>LUON CAT SOI</t>
  </si>
  <si>
    <t>F0070</t>
  </si>
  <si>
    <t>▶ EMPEROR FISH</t>
  </si>
  <si>
    <t>EMPEROR FISH 1200/UP</t>
  </si>
  <si>
    <t xml:space="preserve">CA GAY </t>
  </si>
  <si>
    <t>F0563</t>
  </si>
  <si>
    <t>EMPEROR FISH 500/800</t>
  </si>
  <si>
    <t>F0561</t>
  </si>
  <si>
    <t>EMPEROR FISH 800/1200</t>
  </si>
  <si>
    <t>F0562</t>
  </si>
  <si>
    <t>▶ FEATHERBACK</t>
  </si>
  <si>
    <t>FEATHERBACK FISH W/R LRG (33)</t>
  </si>
  <si>
    <t>CA THAC LAC/ NANG HAI</t>
  </si>
  <si>
    <t>F0101</t>
  </si>
  <si>
    <t>FEATHERBACK PASTE (10x5#)</t>
  </si>
  <si>
    <t>CHA CA THAC LAC</t>
  </si>
  <si>
    <t>F0107</t>
  </si>
  <si>
    <t>10 X 5 LB</t>
  </si>
  <si>
    <t>FEATHERBACK PASTE (40)</t>
  </si>
  <si>
    <t>F0108</t>
  </si>
  <si>
    <t>40 X 14 OZ</t>
  </si>
  <si>
    <t>▶FUSILIER</t>
  </si>
  <si>
    <t>RED TAIL FUSILIER 100/200 (30)</t>
  </si>
  <si>
    <t>CA DO CU</t>
  </si>
  <si>
    <t>F0545</t>
  </si>
  <si>
    <t>YLWTAIL FUSILIER 200/300 (30)</t>
  </si>
  <si>
    <t>CA TRAM BI</t>
  </si>
  <si>
    <t>F0670</t>
  </si>
  <si>
    <t>YLWTAIL FUSILIER 300/500 (30)</t>
  </si>
  <si>
    <t>F0671</t>
  </si>
  <si>
    <t>YLWTAIL FUSILIER 500/800</t>
  </si>
  <si>
    <t>F0672</t>
  </si>
  <si>
    <t>▶ GOBY</t>
  </si>
  <si>
    <t>GOBY FISH (30x14)</t>
  </si>
  <si>
    <t>CA KEO</t>
  </si>
  <si>
    <t>F0080</t>
  </si>
  <si>
    <t>MARBLE GOBY FISH (60)</t>
  </si>
  <si>
    <t>CA BONG TRUNG</t>
  </si>
  <si>
    <t>F0491</t>
  </si>
  <si>
    <t>MARBLE SLEEPER GOBY FISH (30)</t>
  </si>
  <si>
    <t>CA BONG TUONG</t>
  </si>
  <si>
    <t>F0495</t>
  </si>
  <si>
    <t>SAND GOBY W/R 70/120g (30)</t>
  </si>
  <si>
    <t>CA BONG CAT NGUYEN CON</t>
  </si>
  <si>
    <t>F0471</t>
  </si>
  <si>
    <t>▶ GROUPER</t>
  </si>
  <si>
    <t>SPOTTED GROUPER 500/800</t>
  </si>
  <si>
    <t>CA MU SAO</t>
  </si>
  <si>
    <t>F0596</t>
  </si>
  <si>
    <t>▶ HILSA</t>
  </si>
  <si>
    <t>HILSA FISH 800/1000g</t>
  </si>
  <si>
    <t>CA CHAY</t>
  </si>
  <si>
    <t>F0222</t>
  </si>
  <si>
    <t>HILSA FISH 1000/1200g</t>
  </si>
  <si>
    <t>F0223</t>
  </si>
  <si>
    <t>HILSA FISH 1200/1500g</t>
  </si>
  <si>
    <t>F0224</t>
  </si>
  <si>
    <t>HILSA FISH 1500/1800g</t>
  </si>
  <si>
    <t>F0225</t>
  </si>
  <si>
    <t>HILSA FISH 400/600 (30)</t>
  </si>
  <si>
    <t>F0220</t>
  </si>
  <si>
    <t>HILSA FISH 500/800</t>
  </si>
  <si>
    <t>F0221</t>
  </si>
  <si>
    <t>▶ ICE FISH</t>
  </si>
  <si>
    <t>SILVER / ICE  FISH 3/5 (44)</t>
  </si>
  <si>
    <t>CA COM SUA</t>
  </si>
  <si>
    <t>F0380</t>
  </si>
  <si>
    <t>20 X 2.2#</t>
  </si>
  <si>
    <t>SILVER / ICE FISH 3/5 (60x8)</t>
  </si>
  <si>
    <t>F0384</t>
  </si>
  <si>
    <t>60 X 8 OZ</t>
  </si>
  <si>
    <t>▶ JACK FISH</t>
  </si>
  <si>
    <t>JACK CREVALLE 1-2 (25)</t>
  </si>
  <si>
    <t>CA JACK</t>
  </si>
  <si>
    <t>F0350</t>
  </si>
  <si>
    <t>JACK CREVALLE 2-4 (25)</t>
  </si>
  <si>
    <t>F0351</t>
  </si>
  <si>
    <t>▶ LADY FISH</t>
  </si>
  <si>
    <t>LADY FISH H&amp;G 1-2# (25)</t>
  </si>
  <si>
    <t>CA LINH LON</t>
  </si>
  <si>
    <t>F0511</t>
  </si>
  <si>
    <t>LADYFISH MEAT (25)</t>
  </si>
  <si>
    <t>CHA CA LINH</t>
  </si>
  <si>
    <t>F0109</t>
  </si>
  <si>
    <t>5 X 5 LB</t>
  </si>
  <si>
    <t>▶ MACKEREL</t>
  </si>
  <si>
    <t>HORSE MACKEREL (30)</t>
  </si>
  <si>
    <t>CA SONG</t>
  </si>
  <si>
    <t>F0347</t>
  </si>
  <si>
    <t>INDIAN MACKEREL LRG (30)</t>
  </si>
  <si>
    <t>CA BAC MA</t>
  </si>
  <si>
    <t>F0340</t>
  </si>
  <si>
    <t>INDIAN MACKEREL MED (30)</t>
  </si>
  <si>
    <t>F0341</t>
  </si>
  <si>
    <t>KING MACKEREL WR 5-10 (60)</t>
  </si>
  <si>
    <t>F03686</t>
  </si>
  <si>
    <t>1 X 60 LB</t>
  </si>
  <si>
    <t>VENEZUELA</t>
  </si>
  <si>
    <t>MACKEREL PIKE -  65/75 (21)</t>
  </si>
  <si>
    <t>CA THU NHO</t>
  </si>
  <si>
    <t>F03701</t>
  </si>
  <si>
    <t>1 X 21 LB</t>
  </si>
  <si>
    <t>STM GUTTED MACKEREL 2P (30)</t>
  </si>
  <si>
    <t>CA HAP</t>
  </si>
  <si>
    <t>F0141</t>
  </si>
  <si>
    <t>STM GUTTED MACKEREL 3P (30)</t>
  </si>
  <si>
    <t>F0142</t>
  </si>
  <si>
    <t>▶ MILK FISH</t>
  </si>
  <si>
    <t>MILK FISH 1200/1500 (40)</t>
  </si>
  <si>
    <t>CA MANG</t>
  </si>
  <si>
    <t>F0614</t>
  </si>
  <si>
    <t>MILK FISH 600/800 (40)</t>
  </si>
  <si>
    <t>F0612</t>
  </si>
  <si>
    <t>MILK FISH 800/1200 (40)</t>
  </si>
  <si>
    <t>F0613</t>
  </si>
  <si>
    <t>▶ MUDFISH</t>
  </si>
  <si>
    <t>MUDFISH 200/300 (15x2)</t>
  </si>
  <si>
    <t>CA LOC NHO</t>
  </si>
  <si>
    <t>F0260</t>
  </si>
  <si>
    <t>MUDFISH STEAK (30)</t>
  </si>
  <si>
    <t>CA LOC KHOANH BO DAU</t>
  </si>
  <si>
    <t>F0266</t>
  </si>
  <si>
    <t>MUDFISH WHL 800/1000g (33)</t>
  </si>
  <si>
    <t>CA LOC NGUYEN CON</t>
  </si>
  <si>
    <t>F0267</t>
  </si>
  <si>
    <t>MUDFISH WHL 1000g/Up (33)</t>
  </si>
  <si>
    <t>F0268</t>
  </si>
  <si>
    <t>▶ MULLET FISH</t>
  </si>
  <si>
    <t>BABY MULLET W/R (20x1.5)</t>
  </si>
  <si>
    <t>CA DOI NHO NGUYEN CON</t>
  </si>
  <si>
    <t>F0320</t>
  </si>
  <si>
    <t>MULLET FISH 800/1200 (25)</t>
  </si>
  <si>
    <t>CA DOI MY</t>
  </si>
  <si>
    <t>F0325</t>
  </si>
  <si>
    <t>MULLET W/R IVP 600/800 (40)</t>
  </si>
  <si>
    <t>CA DOI NGUYEN CON</t>
  </si>
  <si>
    <t>F0321</t>
  </si>
  <si>
    <t>▶ PARROT FISH</t>
  </si>
  <si>
    <t>PARROT GOBY FISH 1200/1500</t>
  </si>
  <si>
    <t>CA MO</t>
  </si>
  <si>
    <t>F0567</t>
  </si>
  <si>
    <t>VIETNAM'</t>
  </si>
  <si>
    <t>PARROT GOBY FISH 500/800</t>
  </si>
  <si>
    <t>F0565</t>
  </si>
  <si>
    <t>PARROT GOBY FISH 800/1200</t>
  </si>
  <si>
    <t>F0566</t>
  </si>
  <si>
    <t>▶ PERCH</t>
  </si>
  <si>
    <t>GIANT SEA PERCH 1000/1200 (40)</t>
  </si>
  <si>
    <t>CA CHEM</t>
  </si>
  <si>
    <t>F0645</t>
  </si>
  <si>
    <t>GIANT SEA PERCH 600/800 (40) B</t>
  </si>
  <si>
    <t>F0643</t>
  </si>
  <si>
    <t>GIANT SEA PERCH 800/1000 (40)</t>
  </si>
  <si>
    <t>F0644</t>
  </si>
  <si>
    <t>CLIMBING PERCH CLN (30)</t>
  </si>
  <si>
    <t>CA RO LAM SACH</t>
  </si>
  <si>
    <t>F0205</t>
  </si>
  <si>
    <t>▶ RABBIT FISH</t>
  </si>
  <si>
    <t>RABBIT FISH 200/300 (30)</t>
  </si>
  <si>
    <t>CA KINH/ CA DIA</t>
  </si>
  <si>
    <t>F0661</t>
  </si>
  <si>
    <t>RABBIT FISH 300/500 (30)</t>
  </si>
  <si>
    <t>F0662</t>
  </si>
  <si>
    <t>RABBIT FISH 500/800</t>
  </si>
  <si>
    <t>F0663</t>
  </si>
  <si>
    <t>▶ RED DRUM</t>
  </si>
  <si>
    <t>RED DRUM 1000/1200 IWP (40)</t>
  </si>
  <si>
    <t>CA DU SOC</t>
  </si>
  <si>
    <t>F0434</t>
  </si>
  <si>
    <t>RED DRUM 600/800 IWP (40)</t>
  </si>
  <si>
    <t>F0432</t>
  </si>
  <si>
    <t>RED DRUM 800/1000 IWP (40)</t>
  </si>
  <si>
    <t>F0433</t>
  </si>
  <si>
    <t>▶ ROHU</t>
  </si>
  <si>
    <t>ROHU 600/800 (40)</t>
  </si>
  <si>
    <t>CA TROI DEN</t>
  </si>
  <si>
    <t>F0126</t>
  </si>
  <si>
    <t>ROHU 800/1200 (40)</t>
  </si>
  <si>
    <t>F0127</t>
  </si>
  <si>
    <t>ROHU1200/1500 (40)</t>
  </si>
  <si>
    <t>F0128</t>
  </si>
  <si>
    <t>▶SCAD</t>
  </si>
  <si>
    <t>BABY ROUNDSCAD (15x2) RND</t>
  </si>
  <si>
    <t>CA NUC THUON NHO</t>
  </si>
  <si>
    <t>F0349</t>
  </si>
  <si>
    <t>BIG EYE SCAD (30)</t>
  </si>
  <si>
    <t>CA TRAO</t>
  </si>
  <si>
    <t>F0346</t>
  </si>
  <si>
    <t>RED BIG-EYE SCAD 4/6 (30)</t>
  </si>
  <si>
    <t>CA MAT KIENG</t>
  </si>
  <si>
    <t>F2305</t>
  </si>
  <si>
    <t>ROUNDSCAD - THUON (30)</t>
  </si>
  <si>
    <t xml:space="preserve">CA NUC THUON </t>
  </si>
  <si>
    <t>F0363</t>
  </si>
  <si>
    <t>ROUNDSCAD BULK 300/500</t>
  </si>
  <si>
    <t>CA NUC NGUYEN CON</t>
  </si>
  <si>
    <t>F03671</t>
  </si>
  <si>
    <t>ROUNDSCAD REDTAIL (15x2)</t>
  </si>
  <si>
    <t>CA NUC XANH/ LUA</t>
  </si>
  <si>
    <t>F0361</t>
  </si>
  <si>
    <t>YELLOWTAIL SCAD M (15x2)</t>
  </si>
  <si>
    <t>CA NGAN</t>
  </si>
  <si>
    <t>F2362</t>
  </si>
  <si>
    <t>▶ SMELT</t>
  </si>
  <si>
    <t>SMELT (SILVERSIDE) H&amp;G RET (30</t>
  </si>
  <si>
    <t>CA LONG TONG</t>
  </si>
  <si>
    <t>F0456</t>
  </si>
  <si>
    <t>SMELT (SILVERSIDE) H/O W/R IQF</t>
  </si>
  <si>
    <t>F0455</t>
  </si>
  <si>
    <t>▶ SNAPPER</t>
  </si>
  <si>
    <t>RED CRIMSON SNAPPER 1-2#</t>
  </si>
  <si>
    <t>CA HONG</t>
  </si>
  <si>
    <t>F0581</t>
  </si>
  <si>
    <t>RED CRIMSON SNAPPER 2-4#</t>
  </si>
  <si>
    <t>F0582</t>
  </si>
  <si>
    <t>RED SNAPPER 1-2#</t>
  </si>
  <si>
    <t>F0585</t>
  </si>
  <si>
    <t>RED SNAPPER 2-4#</t>
  </si>
  <si>
    <t>F0586</t>
  </si>
  <si>
    <t>SPOTTED SNAPPER 1-2#</t>
  </si>
  <si>
    <t>F0588</t>
  </si>
  <si>
    <t>SPOTTED SNAPPER 2-4#</t>
  </si>
  <si>
    <t>F0589</t>
  </si>
  <si>
    <t>▶ SWEETLIPS FISH</t>
  </si>
  <si>
    <t>SWEETLIPS FISH 500/800</t>
  </si>
  <si>
    <t>CA KEM</t>
  </si>
  <si>
    <t>F0626</t>
  </si>
  <si>
    <t>SWEETLIPS FISH 800/1200</t>
  </si>
  <si>
    <t>F0627</t>
  </si>
  <si>
    <t>▶ THREADFIN FISH</t>
  </si>
  <si>
    <t>THREADFIN FISH 300/500 (30)</t>
  </si>
  <si>
    <t>CA CHET</t>
  </si>
  <si>
    <t>F0535</t>
  </si>
  <si>
    <t>THREADFIN FISH 800/1000</t>
  </si>
  <si>
    <t>F0537</t>
  </si>
  <si>
    <t>THREADFIN FISH 1000/1200</t>
  </si>
  <si>
    <t>F0538</t>
  </si>
  <si>
    <t>▶ TUNA &amp; AMBERJACK</t>
  </si>
  <si>
    <t>AMBERJACK (HAMACHI) 2-4# (44.1</t>
  </si>
  <si>
    <t>CA NGU</t>
  </si>
  <si>
    <t>F0332</t>
  </si>
  <si>
    <t>1 X 44.1#</t>
  </si>
  <si>
    <t>KOREA</t>
  </si>
  <si>
    <t>BABY BONITA/BULLET TUNA (30)</t>
  </si>
  <si>
    <t>CA NGU O</t>
  </si>
  <si>
    <t>F0364</t>
  </si>
  <si>
    <t>BONITO/SKIPJACK TUNA 2/4 (25)</t>
  </si>
  <si>
    <t>CA NGU MEXICO</t>
  </si>
  <si>
    <t>F0333</t>
  </si>
  <si>
    <t>▶OTHERS</t>
  </si>
  <si>
    <t>BANANA FISH (30)</t>
  </si>
  <si>
    <t>CA KHOAI SONG</t>
  </si>
  <si>
    <t>F0240</t>
  </si>
  <si>
    <t>BELT FISH W/R 1000/1500 (22.05</t>
  </si>
  <si>
    <t>CA HO NGUYEN CON</t>
  </si>
  <si>
    <t>F0464</t>
  </si>
  <si>
    <t>1 X 22.05#</t>
  </si>
  <si>
    <t>VENESUELA</t>
  </si>
  <si>
    <t>BOMBAY DUCK (30)</t>
  </si>
  <si>
    <t>CA KHOAI BIEN LAM SACH</t>
  </si>
  <si>
    <t>F0245</t>
  </si>
  <si>
    <t>GOURAMI FISH CLN (30)</t>
  </si>
  <si>
    <t>CA SAC LAM SACH</t>
  </si>
  <si>
    <t>F0210</t>
  </si>
  <si>
    <t>LIZARD FISH 8/11" (30)</t>
  </si>
  <si>
    <t>CA MOI</t>
  </si>
  <si>
    <t>F0681</t>
  </si>
  <si>
    <t>MOON FISH 4/6 (30)</t>
  </si>
  <si>
    <t>CA LUOI BUA</t>
  </si>
  <si>
    <t>F0621</t>
  </si>
  <si>
    <t>SILK WORM (60)</t>
  </si>
  <si>
    <t xml:space="preserve">NHONG </t>
  </si>
  <si>
    <t>F0374</t>
  </si>
  <si>
    <t>SILVER SILLAGO W/R 7/9" (30)</t>
  </si>
  <si>
    <t>F0551</t>
  </si>
  <si>
    <t>SPOTTED SCAT FISH 100/300 (30)</t>
  </si>
  <si>
    <t>F0655</t>
  </si>
  <si>
    <t>SQUIRREL FISH 200/300 (30)</t>
  </si>
  <si>
    <t>CA SON DO</t>
  </si>
  <si>
    <t>F0500</t>
  </si>
  <si>
    <t>STRIPE BOTIA FISH (30)</t>
  </si>
  <si>
    <t>CA HEO</t>
  </si>
  <si>
    <t>F0230</t>
  </si>
  <si>
    <t>UNICORN FISH 1500/2000g</t>
  </si>
  <si>
    <t>CA KY LAN BIEN</t>
  </si>
  <si>
    <t>F0484</t>
  </si>
  <si>
    <t>YLW STRIPE TREVALLY (30x14)</t>
  </si>
  <si>
    <t>CA CHI VANG</t>
  </si>
  <si>
    <t>F0151</t>
  </si>
  <si>
    <t>▶ POULTRY</t>
  </si>
  <si>
    <t>QUAIL WHOLE DRESSED (36)</t>
  </si>
  <si>
    <t>CHIM CUT</t>
  </si>
  <si>
    <t>F1106</t>
  </si>
  <si>
    <t>6 X 6 PC</t>
  </si>
  <si>
    <t>SQUAB 15/16oz (24)</t>
  </si>
  <si>
    <t>CHIM BO CAU</t>
  </si>
  <si>
    <t>F1101</t>
  </si>
  <si>
    <t>1 X 24 PC</t>
  </si>
  <si>
    <t>▶ DRIED &amp; SALTED</t>
  </si>
  <si>
    <t>DH ANCHOVY 2/3 (22)</t>
  </si>
  <si>
    <t>CA COM KHO</t>
  </si>
  <si>
    <t>C0161</t>
  </si>
  <si>
    <t>DH BABY SQUID SKIN-ON (20x8)</t>
  </si>
  <si>
    <t>MUC KHO NHO</t>
  </si>
  <si>
    <t>C0053</t>
  </si>
  <si>
    <t>20 X 8 OZ</t>
  </si>
  <si>
    <t>DH BIG EYE HERRING (10)</t>
  </si>
  <si>
    <t>KHO CA TRICH</t>
  </si>
  <si>
    <t>C0201</t>
  </si>
  <si>
    <t>DH FILE FISH (22)</t>
  </si>
  <si>
    <t>KHO CA BO</t>
  </si>
  <si>
    <t>C0170</t>
  </si>
  <si>
    <t>DH KRILL (10)</t>
  </si>
  <si>
    <t>RUOC KHO</t>
  </si>
  <si>
    <t>C0044</t>
  </si>
  <si>
    <t>DH KRILL (20)</t>
  </si>
  <si>
    <t>RUOC KHO TUI LE</t>
  </si>
  <si>
    <t>C0041</t>
  </si>
  <si>
    <t>DH MUDFISH STRIPS (33)</t>
  </si>
  <si>
    <t>KHO CO LOC</t>
  </si>
  <si>
    <t>C0065</t>
  </si>
  <si>
    <t>DH SEASONED RIVERBARB (60)</t>
  </si>
  <si>
    <t>KHO CA HE</t>
  </si>
  <si>
    <t>C0140</t>
  </si>
  <si>
    <t>60 X 10 OZ</t>
  </si>
  <si>
    <t>DRIED KRILL/SHRIMP LRG (80)</t>
  </si>
  <si>
    <t>TOM KHO</t>
  </si>
  <si>
    <t>C0153</t>
  </si>
  <si>
    <t>80 X 3 OZ</t>
  </si>
  <si>
    <t>DRIED KRILL/SHRIMP MED (80)</t>
  </si>
  <si>
    <t>C0152</t>
  </si>
  <si>
    <t>FLVD SALTED CRAB MIX (24)</t>
  </si>
  <si>
    <t>BA KHIA TRON GIA VI</t>
  </si>
  <si>
    <t>D0039</t>
  </si>
  <si>
    <t>PREPARED CRAB JUICE (30)</t>
  </si>
  <si>
    <t>NUOC COT CUA DONG XAY LUOC VO</t>
  </si>
  <si>
    <t>D0038</t>
  </si>
  <si>
    <t>SALTED WHOLE CRAB (24)</t>
  </si>
  <si>
    <t>BA KHIA NGUYEN CON</t>
  </si>
  <si>
    <t>D0037</t>
  </si>
  <si>
    <t>SLT CONGER EEL FILET (30)</t>
  </si>
  <si>
    <t>KHO CA LAT</t>
  </si>
  <si>
    <t>C0072</t>
  </si>
  <si>
    <t>SLT CROAKER 40/U (40)</t>
  </si>
  <si>
    <t>KHO CA SUU</t>
  </si>
  <si>
    <t>C0029</t>
  </si>
  <si>
    <t>SLT FW KRILL (24)</t>
  </si>
  <si>
    <t>CON RUOC</t>
  </si>
  <si>
    <t>D0035</t>
  </si>
  <si>
    <t>SLT KING  MACK FILLET (40)</t>
  </si>
  <si>
    <t>MAM CA THU</t>
  </si>
  <si>
    <t>C0031</t>
  </si>
  <si>
    <t>SLT SABA MACK FILET (22)</t>
  </si>
  <si>
    <t>CA SABA NUC MUOI</t>
  </si>
  <si>
    <t>C0037</t>
  </si>
  <si>
    <t>22 X 6.4 Z</t>
  </si>
  <si>
    <t>▶ ANCHOVY</t>
  </si>
  <si>
    <t>GRAY/SILVER ANCHOVY 5/7 (30)</t>
  </si>
  <si>
    <t>CA COM THAN</t>
  </si>
  <si>
    <t>F0390</t>
  </si>
  <si>
    <t>RIVER ANCHOVY (30)</t>
  </si>
  <si>
    <t>CA COM SONG</t>
  </si>
  <si>
    <t>F0398</t>
  </si>
  <si>
    <t>WHT ANCHOVY H/L (30)</t>
  </si>
  <si>
    <t>CA COM TRANG</t>
  </si>
  <si>
    <t>F0393</t>
  </si>
  <si>
    <t>▶ AGRICULTURAL</t>
  </si>
  <si>
    <t>AROMA SPICY GREEN CHILI (60)</t>
  </si>
  <si>
    <t>OT XIEM XANH</t>
  </si>
  <si>
    <t>F0370</t>
  </si>
  <si>
    <t>CASSAVA WHOLE PEELED (30)</t>
  </si>
  <si>
    <t>KHOAI MI CU LAM SACH</t>
  </si>
  <si>
    <t>F0855</t>
  </si>
  <si>
    <t>GRATED CASSAVA (30)</t>
  </si>
  <si>
    <t>KHOAI MI BAO</t>
  </si>
  <si>
    <t>F0856</t>
  </si>
  <si>
    <t>GREEN CHILI (60)</t>
  </si>
  <si>
    <t>OT HIEM XANH</t>
  </si>
  <si>
    <t>F0371</t>
  </si>
  <si>
    <t>PALM NUT M 16/18 (40)</t>
  </si>
  <si>
    <t>CAU TUOI DAI</t>
  </si>
  <si>
    <t>F0379</t>
  </si>
  <si>
    <t>40 X 16 OZ</t>
  </si>
  <si>
    <t>PALM NUT S 18/24 (40)</t>
  </si>
  <si>
    <t>F0378</t>
  </si>
  <si>
    <t>PALM NUT XS 25/30 (40)</t>
  </si>
  <si>
    <t>CAU TUOI NHO</t>
  </si>
  <si>
    <t>F0377</t>
  </si>
  <si>
    <t>PALM NUT XXS 30/35 (40)</t>
  </si>
  <si>
    <t>CAU TUOI RAT NHO</t>
  </si>
  <si>
    <t>F0376</t>
  </si>
  <si>
    <t>PURPLE CORN W/HUSK (24)</t>
  </si>
  <si>
    <t>BAP NEP TIM</t>
  </si>
  <si>
    <t>F0851</t>
  </si>
  <si>
    <t>24 X 3 PC</t>
  </si>
  <si>
    <t>PURPLE YAM CHUNKS CLEANED (30)</t>
  </si>
  <si>
    <t>KHOAI MO TIM CAT KHUC</t>
  </si>
  <si>
    <t>F08531</t>
  </si>
  <si>
    <t>PURPLE YAM GRATED (30)</t>
  </si>
  <si>
    <t>KHOAI MO TIM BAO</t>
  </si>
  <si>
    <t>F0853</t>
  </si>
  <si>
    <t>RED CHILLI (60x7)</t>
  </si>
  <si>
    <t>OT HIEM DO</t>
  </si>
  <si>
    <t>F0372</t>
  </si>
  <si>
    <t>SLICED LEMON GRASS (24)</t>
  </si>
  <si>
    <t>SA BAO</t>
  </si>
  <si>
    <t>F0373</t>
  </si>
  <si>
    <t>24 X 10 OZ</t>
  </si>
  <si>
    <t>WHITE CORN W/HUSK (24)</t>
  </si>
  <si>
    <t>BAP NEP TRANG</t>
  </si>
  <si>
    <t>F0852</t>
  </si>
  <si>
    <t>YOUNG BLACK PEPPER (40)</t>
  </si>
  <si>
    <t>TIEU XANH</t>
  </si>
  <si>
    <t>F0375</t>
  </si>
  <si>
    <t>40 X 4 OZ</t>
  </si>
  <si>
    <t>▶ NEW JERSEY WAREHOUSE</t>
  </si>
  <si>
    <t>▶ MIAMI WAREHOUSE</t>
  </si>
  <si>
    <t>ALPHABETICAL PRODUCT INDEX</t>
  </si>
  <si>
    <t>Quick lookup by product name</t>
  </si>
  <si>
    <t>Category</t>
  </si>
  <si>
    <t>Case Price</t>
  </si>
  <si>
    <t>FISH - TUNA &amp; AMBERJACK</t>
  </si>
  <si>
    <t>OTHER</t>
  </si>
  <si>
    <t>OCTOPUS &amp; SQUID</t>
  </si>
  <si>
    <t>FISH - SPECIALTY</t>
  </si>
  <si>
    <t>FISH - POMFRET</t>
  </si>
  <si>
    <t>CLAMS &amp; SHELLFISH</t>
  </si>
  <si>
    <t>1 X 25  LB</t>
  </si>
  <si>
    <t>FISH - SWAI/CATFISH</t>
  </si>
  <si>
    <t>CRAB</t>
  </si>
  <si>
    <t>DRIED &amp; SALTED</t>
  </si>
  <si>
    <t>1 X  10 LB</t>
  </si>
  <si>
    <t>SHRIMP &amp; PRAWNS</t>
  </si>
  <si>
    <t>FROG LEGS</t>
  </si>
  <si>
    <t>12 X 2  LB</t>
  </si>
  <si>
    <t>12 X 2 LBS</t>
  </si>
  <si>
    <t>AGRICULTURAL</t>
  </si>
  <si>
    <t>12  X 2 LB</t>
  </si>
  <si>
    <t>FISH - MACKEREL</t>
  </si>
  <si>
    <t>SEAFOOD MIXES</t>
  </si>
  <si>
    <t>FISH - SALMON &amp; COD</t>
  </si>
  <si>
    <t>30 X 14OZ</t>
  </si>
  <si>
    <t>FISH - TILAPIA</t>
  </si>
  <si>
    <t>POULTRY</t>
  </si>
  <si>
    <t>15 X 2 LBS</t>
  </si>
  <si>
    <t>2 X 11 LBS</t>
  </si>
  <si>
    <t>STRETCH  FILM (4 ROLLS)</t>
  </si>
  <si>
    <t>F9010</t>
  </si>
  <si>
    <t>4 X 1500FT</t>
  </si>
  <si>
    <t>W SHRIMP HLSO 26/30 (40)</t>
  </si>
  <si>
    <t>W SHRIMP HLSO 31/35 (40)</t>
  </si>
  <si>
    <t>6  X 4 LB</t>
  </si>
  <si>
    <t>Run Date: 02/10/2026</t>
  </si>
  <si>
    <t>SEAQUEST SEAFOOD</t>
  </si>
  <si>
    <t>CORPORATION</t>
  </si>
  <si>
    <t>Pag</t>
  </si>
  <si>
    <t>e: 1</t>
  </si>
  <si>
    <t>R/M Date: 02/10/2026</t>
  </si>
  <si>
    <t>NEW PRICE</t>
  </si>
  <si>
    <t>LIST</t>
  </si>
  <si>
    <t>Tim</t>
  </si>
  <si>
    <t>e: 10:21 AM</t>
  </si>
  <si>
    <t>DESCRIPTION</t>
  </si>
  <si>
    <t>ITEM#</t>
  </si>
  <si>
    <t>ORIGIN</t>
  </si>
  <si>
    <t>MOC</t>
  </si>
  <si>
    <t>PACKAGING</t>
  </si>
  <si>
    <t>WEIGHT</t>
  </si>
  <si>
    <t>U. PRI</t>
  </si>
  <si>
    <t>CECASE PRICE</t>
  </si>
  <si>
    <t>1) OCTOPUS</t>
  </si>
  <si>
    <t>2) CUTTLEFISH</t>
  </si>
  <si>
    <t>3) CRAB MEAT</t>
  </si>
  <si>
    <t>4) CLAM</t>
  </si>
  <si>
    <t>5) CONCH MEAT</t>
  </si>
  <si>
    <t>6) FROG LEG</t>
  </si>
  <si>
    <t>7) POMFRET</t>
  </si>
  <si>
    <t>8) SCHRIMP</t>
  </si>
  <si>
    <t>9) SQUID</t>
  </si>
  <si>
    <t>10) SWAI</t>
  </si>
  <si>
    <t>11) TILAPIA</t>
  </si>
  <si>
    <t>12) AGRICULTURAL ITEMS</t>
  </si>
  <si>
    <t>13) BASS</t>
  </si>
  <si>
    <t>14) SNAIL</t>
  </si>
  <si>
    <t>15) MUSSEL</t>
  </si>
  <si>
    <t>16) WHOLE FISH</t>
  </si>
  <si>
    <t>21) FISH PASTE</t>
  </si>
  <si>
    <t>e: 2</t>
  </si>
  <si>
    <t>1          MEXICO</t>
  </si>
  <si>
    <t>F0367</t>
  </si>
  <si>
    <t>1          CHINA</t>
  </si>
  <si>
    <t>F0368</t>
  </si>
  <si>
    <t>6          VENEZUELA</t>
  </si>
  <si>
    <t>1          TAIWAN</t>
  </si>
  <si>
    <t>e: 3</t>
  </si>
  <si>
    <t>3          VIETNAM</t>
  </si>
  <si>
    <t>4          VIETNAM</t>
  </si>
  <si>
    <t>e: 4</t>
  </si>
  <si>
    <t>1          VIETNAM</t>
  </si>
  <si>
    <t>e: 5</t>
  </si>
  <si>
    <t>5          CHINA</t>
  </si>
  <si>
    <t>6          CHINA</t>
  </si>
  <si>
    <t>Run Date: 03/02/2026</t>
  </si>
  <si>
    <t>R/M Date: 03/02/2026</t>
  </si>
  <si>
    <t>e: 10:08 AM</t>
  </si>
  <si>
    <t>ROHU 1000/1500 (40)</t>
  </si>
  <si>
    <t>Case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</si>
</sst>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7" formatCode="&quot;$&quot;#,##0.00_);\(&quot;$&quot;#,##0.00\)"/>
    <numFmt numFmtId="164" formatCode="\$#,##0.00"/>
    <numFmt numFmtId="165" formatCode="&quot;$&quot;#,##0.00"/>
  </numFmts>
  <fonts count="22" x14ac:knownFonts="1">
    <font>
      <sz val="11"/>
      <color theme="1"/>
      <name val="Calibri"/>
      <family val="2"/>
      <scheme val="minor"/>
    </font>
    <font>
      <b/>
      <sz val="14"/>
      <color rgb="FF1F4E78"/>
      <name val="Arial"/>
      <family val="2"/>
    </font>
    <font>
      <b/>
      <sz val="12"/>
      <color rgb="FF4472C4"/>
      <name val="Arial"/>
      <family val="2"/>
    </font>
    <font>
      <i/>
      <sz val="10"/>
      <name val="Arial"/>
      <family val="2"/>
    </font>
    <font>
      <b/>
      <sz val="12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1"/>
      <color rgb="FFFF8C00"/>
      <name val="Calibri"/>
      <family val="2"/>
    </font>
    <font>
      <b/>
      <sz val="11"/>
      <color rgb="FFFF0000"/>
      <name val="Calibri"/>
    </font>
    <font>
      <sz val="11"/>
      <color rgb="FFFF8C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1F4E78"/>
        <bgColor rgb="FF1F4E78"/>
      </patternFill>
    </fill>
    <fill>
      <patternFill patternType="solid">
        <fgColor rgb="FFFFE0E0"/>
        <bgColor rgb="FFFFE0E0"/>
      </patternFill>
    </fill>
    <fill>
      <patternFill patternType="solid">
        <fgColor rgb="FFFFE0E0"/>
        <bgColor rgb="FFFFE0E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0" xfId="0" applyFont="1"/>
    <xf numFmtId="0" fontId="3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165" fontId="11" fillId="0" borderId="0" xfId="0" applyNumberFormat="1" applyFont="1" applyAlignment="1">
      <alignment horizontal="center"/>
    </xf>
    <xf numFmtId="2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4" fillId="2" borderId="0" xfId="0" applyFont="1" applyFill="1" applyAlignment="1">
      <alignment vertical="center"/>
    </xf>
    <xf numFmtId="0" fontId="11" fillId="0" borderId="2" xfId="0" applyFont="1" applyBorder="1" applyAlignment="1">
      <alignment horizontal="left"/>
    </xf>
    <xf numFmtId="0" fontId="11" fillId="0" borderId="2" xfId="0" applyFont="1" applyBorder="1" applyAlignment="1">
      <alignment horizontal="center"/>
    </xf>
    <xf numFmtId="2" fontId="11" fillId="0" borderId="2" xfId="0" applyNumberFormat="1" applyFont="1" applyBorder="1" applyAlignment="1">
      <alignment horizontal="center"/>
    </xf>
    <xf numFmtId="165" fontId="11" fillId="0" borderId="2" xfId="0" applyNumberFormat="1" applyFont="1" applyBorder="1" applyAlignment="1">
      <alignment horizontal="center"/>
    </xf>
    <xf numFmtId="0" fontId="10" fillId="0" borderId="2" xfId="0" applyFont="1" applyBorder="1" applyAlignment="1">
      <alignment horizontal="left"/>
    </xf>
    <xf numFmtId="164" fontId="10" fillId="0" borderId="2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9" fillId="5" borderId="2" xfId="0" applyNumberFormat="1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vertical="center"/>
    </xf>
    <xf numFmtId="0" fontId="13" fillId="2" borderId="0" xfId="0" applyFont="1" applyFill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165" fontId="9" fillId="5" borderId="5" xfId="0" applyNumberFormat="1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2" fontId="6" fillId="0" borderId="7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5" fontId="11" fillId="0" borderId="7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4" fontId="0" fillId="0" borderId="0" xfId="0" applyNumberFormat="1"/>
    <xf numFmtId="0" fontId="12" fillId="2" borderId="0" xfId="0" applyFont="1" applyFill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14" fillId="0" borderId="0" xfId="0" applyFont="1"/>
    <xf numFmtId="164" fontId="9" fillId="0" borderId="2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0" fontId="12" fillId="2" borderId="3" xfId="0" applyFont="1" applyFill="1" applyBorder="1" applyAlignment="1">
      <alignment vertical="center"/>
    </xf>
    <xf numFmtId="164" fontId="9" fillId="0" borderId="7" xfId="0" applyNumberFormat="1" applyFont="1" applyBorder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15" fillId="0" borderId="0" xfId="0" applyFont="1" applyAlignment="1">
      <alignment horizontal="center"/>
    </xf>
    <xf numFmtId="165" fontId="15" fillId="0" borderId="2" xfId="0" applyNumberFormat="1" applyFont="1" applyBorder="1" applyAlignment="1">
      <alignment horizontal="center"/>
    </xf>
    <xf numFmtId="0" fontId="16" fillId="0" borderId="0" xfId="0" applyFont="1"/>
    <xf numFmtId="0" fontId="6" fillId="0" borderId="10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164" fontId="9" fillId="0" borderId="5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2" fontId="6" fillId="0" borderId="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5" fontId="11" fillId="0" borderId="5" xfId="0" applyNumberFormat="1" applyFont="1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/>
    </xf>
    <xf numFmtId="164" fontId="18" fillId="0" borderId="2" xfId="0" applyNumberFormat="1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16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4" fontId="19" fillId="0" borderId="2" xfId="0" applyNumberFormat="1" applyFont="1" applyBorder="1" applyAlignment="1">
      <alignment horizontal="center" vertical="center"/>
    </xf>
    <xf numFmtId="164" fontId="20" fillId="8" borderId="2" xfId="0" applyNumberFormat="1" applyFont="1" applyFill="1" applyBorder="1" applyAlignment="1">
      <alignment horizontal="center" vertical="center"/>
    </xf>
    <xf numFmtId="164" fontId="21" fillId="0" borderId="2" xfId="0" applyNumberFormat="1" applyFont="1" applyBorder="1" applyAlignment="1">
      <alignment horizontal="center" vertical="center"/>
    </xf>
    <xf numFmtId="7" fontId="15" fillId="0" borderId="2" xfId="0" applyNumberFormat="1" applyFont="1" applyBorder="1" applyAlignment="1">
      <alignment horizontal="center"/>
    </xf>
    <xf numFmtId="7" fontId="18" fillId="0" borderId="2" xfId="0" applyNumberFormat="1" applyFont="1" applyBorder="1" applyAlignment="1">
      <alignment horizontal="center"/>
    </xf>
    <xf numFmtId="7" fontId="17" fillId="7" borderId="2" xfId="0" applyNumberFormat="1" applyFont="1" applyFill="1" applyBorder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tes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4"/>
  <sheetViews>
    <sheetView tabSelected="1" workbookViewId="0">
      <selection activeCell="K7" sqref="K7:K394"/>
    </sheetView>
  </sheetViews>
  <sheetFormatPr defaultRowHeight="15" x14ac:dyDescent="0.25"/>
  <cols>
    <col min="1" max="1" width="36" style="79" customWidth="1"/>
    <col min="2" max="2" width="32.85546875" style="79" customWidth="1"/>
    <col min="3" max="3" width="7.140625" style="79" bestFit="1" customWidth="1"/>
    <col min="4" max="4" width="9.85546875" style="53" bestFit="1" customWidth="1"/>
    <col min="5" max="5" width="10.5703125" style="79" bestFit="1" customWidth="1"/>
    <col min="6" max="6" width="12.28515625" style="79" bestFit="1" customWidth="1"/>
    <col min="7" max="7" width="8.85546875" style="79" bestFit="1" customWidth="1"/>
    <col min="8" max="8" width="11.7109375" style="79" bestFit="1" customWidth="1"/>
    <col min="9" max="9" width="5.7109375" style="18" bestFit="1" customWidth="1"/>
    <col min="10" max="10" width="10.42578125" style="20" bestFit="1" customWidth="1"/>
  </cols>
  <sheetData>
    <row r="1" spans="1:13" ht="18" customHeight="1" x14ac:dyDescent="0.25">
      <c r="A1" s="78" t="s">
        <v>0</v>
      </c>
      <c r="B1" s="78"/>
    </row>
    <row r="2" spans="1:13" ht="15.75" customHeight="1" x14ac:dyDescent="0.25">
      <c r="A2" s="1" t="s">
        <v>1</v>
      </c>
      <c r="B2" s="1"/>
    </row>
    <row r="3" spans="1:13" x14ac:dyDescent="0.25">
      <c r="A3" s="2" t="s">
        <v>2</v>
      </c>
      <c r="B3" s="2"/>
    </row>
    <row r="5" spans="1:13" ht="15.75" customHeight="1" x14ac:dyDescent="0.25">
      <c r="A5" s="7" t="s">
        <v>3</v>
      </c>
      <c r="B5" s="7"/>
      <c r="C5" s="7"/>
      <c r="D5" s="46"/>
      <c r="E5" s="7"/>
      <c r="F5" s="7"/>
      <c r="G5" s="7"/>
      <c r="H5" s="7"/>
      <c r="I5" s="33"/>
      <c r="J5" s="33"/>
    </row>
    <row r="6" spans="1:13" x14ac:dyDescent="0.25">
      <c r="A6" s="3" t="s">
        <v>4</v>
      </c>
      <c r="B6" s="3" t="s">
        <v>5</v>
      </c>
      <c r="C6" s="3" t="s">
        <v>6</v>
      </c>
      <c r="D6" s="15" t="s">
        <v>7</v>
      </c>
      <c r="E6" s="3" t="s">
        <v>8</v>
      </c>
      <c r="F6" s="3" t="s">
        <v>9</v>
      </c>
      <c r="G6" s="3" t="s">
        <v>10</v>
      </c>
      <c r="H6" s="8" t="s">
        <v>11</v>
      </c>
      <c r="I6" s="15" t="s">
        <v>12</v>
      </c>
      <c r="J6" s="31" t="s">
        <v>13</v>
      </c>
      <c r="K6" t="s">
        <v>973</v>
      </c>
    </row>
    <row r="7" spans="1:13" x14ac:dyDescent="0.25">
      <c r="A7" s="4" t="s">
        <v>14</v>
      </c>
      <c r="B7" s="4" t="s">
        <v>15</v>
      </c>
      <c r="C7" s="5" t="s">
        <v>16</v>
      </c>
      <c r="D7" s="83">
        <v>3.25</v>
      </c>
      <c r="E7" s="5" t="s">
        <v>17</v>
      </c>
      <c r="F7" s="5" t="s">
        <v>18</v>
      </c>
      <c r="G7" s="5" t="s">
        <v>19</v>
      </c>
      <c r="H7" s="9">
        <v>26.25</v>
      </c>
      <c r="I7" s="29" t="s">
        <v>20</v>
      </c>
      <c r="J7" s="27" t="s">
        <v>21</v>
      </c>
      <c r="K7">
        <f>VLOOKUP(C:C,Sheet2!B:H,7,0)</f>
        <v>97.5</v>
      </c>
      <c r="M7" s="45"/>
    </row>
    <row r="8" spans="1:13" x14ac:dyDescent="0.25">
      <c r="A8" s="4" t="s">
        <v>22</v>
      </c>
      <c r="B8" s="4" t="s">
        <v>23</v>
      </c>
      <c r="C8" s="5" t="s">
        <v>24</v>
      </c>
      <c r="D8" s="83">
        <v>3.6</v>
      </c>
      <c r="E8" s="5" t="s">
        <v>25</v>
      </c>
      <c r="F8" s="5" t="s">
        <v>26</v>
      </c>
      <c r="G8" s="5" t="s">
        <v>19</v>
      </c>
      <c r="H8" s="9">
        <v>24</v>
      </c>
      <c r="I8" s="29" t="s">
        <v>20</v>
      </c>
      <c r="J8" s="27" t="s">
        <v>21</v>
      </c>
      <c r="K8" s="79">
        <f>VLOOKUP(C:C,Sheet2!B:H,7,0)</f>
        <v>86.4</v>
      </c>
      <c r="M8" s="45"/>
    </row>
    <row r="9" spans="1:13" x14ac:dyDescent="0.25">
      <c r="A9" s="4" t="s">
        <v>27</v>
      </c>
      <c r="B9" s="4" t="s">
        <v>23</v>
      </c>
      <c r="C9" s="5" t="s">
        <v>28</v>
      </c>
      <c r="D9" s="83">
        <v>3.5</v>
      </c>
      <c r="E9" s="5" t="s">
        <v>25</v>
      </c>
      <c r="F9" s="5" t="s">
        <v>26</v>
      </c>
      <c r="G9" s="5" t="s">
        <v>19</v>
      </c>
      <c r="H9" s="9">
        <v>24</v>
      </c>
      <c r="I9" s="29" t="s">
        <v>20</v>
      </c>
      <c r="J9" s="27" t="s">
        <v>21</v>
      </c>
      <c r="K9" s="79">
        <f>VLOOKUP(C:C,Sheet2!B:H,7,0)</f>
        <v>84</v>
      </c>
      <c r="M9" s="45"/>
    </row>
    <row r="10" spans="1:13" x14ac:dyDescent="0.25">
      <c r="A10" s="4" t="s">
        <v>29</v>
      </c>
      <c r="B10" s="4" t="s">
        <v>30</v>
      </c>
      <c r="C10" s="5" t="s">
        <v>31</v>
      </c>
      <c r="D10" s="83">
        <v>3.6</v>
      </c>
      <c r="E10" s="5" t="s">
        <v>25</v>
      </c>
      <c r="F10" s="5" t="s">
        <v>26</v>
      </c>
      <c r="G10" s="5" t="s">
        <v>19</v>
      </c>
      <c r="H10" s="9">
        <v>24</v>
      </c>
      <c r="I10" s="29" t="s">
        <v>20</v>
      </c>
      <c r="J10" s="27" t="s">
        <v>21</v>
      </c>
      <c r="K10" s="79">
        <f>VLOOKUP(C:C,Sheet2!B:H,7,0)</f>
        <v>86.4</v>
      </c>
      <c r="M10" s="45"/>
    </row>
    <row r="11" spans="1:13" x14ac:dyDescent="0.25">
      <c r="A11" s="4" t="s">
        <v>32</v>
      </c>
      <c r="B11" s="4" t="s">
        <v>30</v>
      </c>
      <c r="C11" s="5" t="s">
        <v>33</v>
      </c>
      <c r="D11" s="83">
        <v>3.5</v>
      </c>
      <c r="E11" s="5" t="s">
        <v>25</v>
      </c>
      <c r="F11" s="5" t="s">
        <v>26</v>
      </c>
      <c r="G11" s="5" t="s">
        <v>19</v>
      </c>
      <c r="H11" s="9">
        <v>24</v>
      </c>
      <c r="I11" s="29" t="s">
        <v>20</v>
      </c>
      <c r="J11" s="27" t="s">
        <v>21</v>
      </c>
      <c r="K11" s="79">
        <f>VLOOKUP(C:C,Sheet2!B:H,7,0)</f>
        <v>84</v>
      </c>
      <c r="M11" s="45"/>
    </row>
    <row r="12" spans="1:13" x14ac:dyDescent="0.25">
      <c r="A12" s="4" t="s">
        <v>34</v>
      </c>
      <c r="B12" s="4" t="s">
        <v>35</v>
      </c>
      <c r="C12" s="5" t="s">
        <v>36</v>
      </c>
      <c r="D12" s="83">
        <v>3.2</v>
      </c>
      <c r="E12" s="5" t="s">
        <v>37</v>
      </c>
      <c r="F12" s="5" t="s">
        <v>38</v>
      </c>
      <c r="G12" s="5" t="s">
        <v>19</v>
      </c>
      <c r="H12" s="9">
        <v>22</v>
      </c>
      <c r="I12" s="29" t="s">
        <v>39</v>
      </c>
      <c r="J12" s="27" t="s">
        <v>39</v>
      </c>
      <c r="K12" s="79">
        <f>VLOOKUP(C:C,Sheet2!B:H,7,0)</f>
        <v>70.56</v>
      </c>
      <c r="M12" s="45"/>
    </row>
    <row r="13" spans="1:13" x14ac:dyDescent="0.25">
      <c r="A13" s="4" t="s">
        <v>40</v>
      </c>
      <c r="B13" s="4" t="s">
        <v>41</v>
      </c>
      <c r="C13" s="5" t="s">
        <v>42</v>
      </c>
      <c r="D13" s="83">
        <v>3.2</v>
      </c>
      <c r="E13" s="5" t="s">
        <v>43</v>
      </c>
      <c r="F13" s="5" t="s">
        <v>18</v>
      </c>
      <c r="G13" s="5" t="s">
        <v>19</v>
      </c>
      <c r="H13" s="9">
        <v>30</v>
      </c>
      <c r="I13" s="29" t="s">
        <v>20</v>
      </c>
      <c r="J13" s="27" t="s">
        <v>21</v>
      </c>
      <c r="K13" s="79">
        <f>VLOOKUP(C:C,Sheet2!B:H,7,0)</f>
        <v>96</v>
      </c>
      <c r="M13" s="45"/>
    </row>
    <row r="14" spans="1:13" x14ac:dyDescent="0.25">
      <c r="A14" s="4" t="s">
        <v>44</v>
      </c>
      <c r="B14" s="4" t="s">
        <v>45</v>
      </c>
      <c r="C14" s="5" t="s">
        <v>46</v>
      </c>
      <c r="D14" s="83">
        <v>2.7</v>
      </c>
      <c r="E14" s="5" t="s">
        <v>47</v>
      </c>
      <c r="F14" s="5" t="s">
        <v>38</v>
      </c>
      <c r="G14" s="5" t="s">
        <v>19</v>
      </c>
      <c r="H14" s="9">
        <v>36</v>
      </c>
      <c r="I14" s="29" t="s">
        <v>48</v>
      </c>
      <c r="J14" s="27" t="s">
        <v>21</v>
      </c>
      <c r="K14" s="79">
        <f>VLOOKUP(C:C,Sheet2!B:H,7,0)</f>
        <v>97.2</v>
      </c>
      <c r="M14" s="45"/>
    </row>
    <row r="15" spans="1:13" x14ac:dyDescent="0.25">
      <c r="A15" s="4" t="s">
        <v>49</v>
      </c>
      <c r="B15" s="4" t="s">
        <v>50</v>
      </c>
      <c r="C15" s="5" t="s">
        <v>51</v>
      </c>
      <c r="D15" s="83">
        <v>4.2</v>
      </c>
      <c r="E15" s="5" t="s">
        <v>37</v>
      </c>
      <c r="F15" s="5" t="s">
        <v>52</v>
      </c>
      <c r="G15" s="5" t="s">
        <v>19</v>
      </c>
      <c r="H15" s="9">
        <v>22</v>
      </c>
      <c r="I15" s="29" t="s">
        <v>39</v>
      </c>
      <c r="J15" s="27" t="s">
        <v>39</v>
      </c>
      <c r="K15" s="79">
        <f>VLOOKUP(C:C,Sheet2!B:H,7,0)</f>
        <v>92.4</v>
      </c>
      <c r="M15" s="45"/>
    </row>
    <row r="16" spans="1:13" x14ac:dyDescent="0.25">
      <c r="A16" s="4" t="s">
        <v>53</v>
      </c>
      <c r="B16" s="4" t="s">
        <v>50</v>
      </c>
      <c r="C16" s="5" t="s">
        <v>54</v>
      </c>
      <c r="D16" s="83">
        <v>4.2</v>
      </c>
      <c r="E16" s="5" t="s">
        <v>37</v>
      </c>
      <c r="F16" s="5" t="s">
        <v>52</v>
      </c>
      <c r="G16" s="5" t="s">
        <v>19</v>
      </c>
      <c r="H16" s="9">
        <v>22</v>
      </c>
      <c r="I16" s="29" t="s">
        <v>39</v>
      </c>
      <c r="J16" s="27" t="s">
        <v>39</v>
      </c>
      <c r="K16" s="79">
        <f>VLOOKUP(C:C,Sheet2!B:H,7,0)</f>
        <v>92.4</v>
      </c>
      <c r="M16" s="45"/>
    </row>
    <row r="17" spans="1:13" x14ac:dyDescent="0.25">
      <c r="A17" s="4" t="s">
        <v>55</v>
      </c>
      <c r="B17" s="4" t="s">
        <v>56</v>
      </c>
      <c r="C17" s="5" t="s">
        <v>57</v>
      </c>
      <c r="D17" s="83">
        <v>2.85</v>
      </c>
      <c r="E17" s="5" t="s">
        <v>17</v>
      </c>
      <c r="F17" s="5" t="s">
        <v>18</v>
      </c>
      <c r="G17" s="5" t="s">
        <v>19</v>
      </c>
      <c r="H17" s="9">
        <v>26.25</v>
      </c>
      <c r="I17" s="29" t="s">
        <v>20</v>
      </c>
      <c r="J17" s="27" t="s">
        <v>21</v>
      </c>
      <c r="K17" s="79">
        <f>VLOOKUP(C:C,Sheet2!B:H,7,0)</f>
        <v>85.5</v>
      </c>
      <c r="M17" s="45"/>
    </row>
    <row r="18" spans="1:13" x14ac:dyDescent="0.25">
      <c r="A18" s="4" t="s">
        <v>58</v>
      </c>
      <c r="B18" s="4" t="s">
        <v>59</v>
      </c>
      <c r="C18" s="5" t="s">
        <v>60</v>
      </c>
      <c r="D18" s="83">
        <v>8.3000000000000007</v>
      </c>
      <c r="E18" s="5" t="s">
        <v>43</v>
      </c>
      <c r="F18" s="5" t="s">
        <v>61</v>
      </c>
      <c r="G18" s="5" t="s">
        <v>19</v>
      </c>
      <c r="H18" s="9">
        <v>30</v>
      </c>
      <c r="I18" s="29" t="s">
        <v>20</v>
      </c>
      <c r="J18" s="27" t="s">
        <v>21</v>
      </c>
      <c r="K18" s="79">
        <f>VLOOKUP(C:C,Sheet2!B:H,7,0)</f>
        <v>249</v>
      </c>
      <c r="M18" s="45"/>
    </row>
    <row r="19" spans="1:13" x14ac:dyDescent="0.25">
      <c r="A19" s="4" t="s">
        <v>62</v>
      </c>
      <c r="B19" s="4" t="s">
        <v>59</v>
      </c>
      <c r="C19" s="5" t="s">
        <v>63</v>
      </c>
      <c r="D19" s="84" t="s">
        <v>64</v>
      </c>
      <c r="E19" s="5" t="s">
        <v>43</v>
      </c>
      <c r="F19" s="5" t="s">
        <v>61</v>
      </c>
      <c r="G19" s="5" t="s">
        <v>19</v>
      </c>
      <c r="H19" s="9">
        <v>30</v>
      </c>
      <c r="I19" s="29" t="s">
        <v>20</v>
      </c>
      <c r="J19" s="27" t="s">
        <v>21</v>
      </c>
      <c r="K19" s="79" t="e">
        <f>VLOOKUP(C:C,Sheet2!B:H,7,0)</f>
        <v>#N/A</v>
      </c>
      <c r="M19" s="45"/>
    </row>
    <row r="20" spans="1:13" x14ac:dyDescent="0.25">
      <c r="A20" s="4" t="s">
        <v>65</v>
      </c>
      <c r="B20" s="4" t="s">
        <v>59</v>
      </c>
      <c r="C20" s="5" t="s">
        <v>66</v>
      </c>
      <c r="D20" s="84" t="s">
        <v>64</v>
      </c>
      <c r="E20" s="5" t="s">
        <v>67</v>
      </c>
      <c r="F20" s="5" t="s">
        <v>61</v>
      </c>
      <c r="G20" s="5" t="s">
        <v>19</v>
      </c>
      <c r="H20" s="9">
        <v>30</v>
      </c>
      <c r="I20" s="29" t="s">
        <v>20</v>
      </c>
      <c r="J20" s="27" t="s">
        <v>21</v>
      </c>
      <c r="K20" s="79" t="e">
        <f>VLOOKUP(C:C,Sheet2!B:H,7,0)</f>
        <v>#N/A</v>
      </c>
      <c r="M20" s="45"/>
    </row>
    <row r="21" spans="1:13" x14ac:dyDescent="0.25">
      <c r="A21" s="80" t="s">
        <v>68</v>
      </c>
      <c r="B21" s="80" t="s">
        <v>69</v>
      </c>
      <c r="C21" s="81" t="s">
        <v>70</v>
      </c>
      <c r="D21" s="82">
        <v>3.4</v>
      </c>
      <c r="E21" s="81" t="s">
        <v>71</v>
      </c>
      <c r="F21" s="81" t="s">
        <v>18</v>
      </c>
      <c r="G21" s="81" t="s">
        <v>19</v>
      </c>
      <c r="H21" s="81">
        <v>50</v>
      </c>
      <c r="I21" s="10" t="s">
        <v>20</v>
      </c>
      <c r="J21" s="27" t="s">
        <v>21</v>
      </c>
      <c r="K21" s="79">
        <f>VLOOKUP(C:C,Sheet2!B:H,7,0)</f>
        <v>170</v>
      </c>
      <c r="M21" s="45"/>
    </row>
    <row r="22" spans="1:13" x14ac:dyDescent="0.25">
      <c r="A22" s="4" t="s">
        <v>72</v>
      </c>
      <c r="B22" s="4" t="s">
        <v>73</v>
      </c>
      <c r="C22" s="5" t="s">
        <v>74</v>
      </c>
      <c r="D22" s="54">
        <v>3.7</v>
      </c>
      <c r="E22" s="5" t="s">
        <v>17</v>
      </c>
      <c r="F22" s="5" t="s">
        <v>18</v>
      </c>
      <c r="G22" s="5" t="s">
        <v>19</v>
      </c>
      <c r="H22" s="9">
        <v>26.25</v>
      </c>
      <c r="I22" s="29" t="s">
        <v>20</v>
      </c>
      <c r="J22" s="27" t="s">
        <v>21</v>
      </c>
      <c r="K22" s="79">
        <f>VLOOKUP(C:C,Sheet2!B:H,7,0)</f>
        <v>111</v>
      </c>
      <c r="M22" s="45"/>
    </row>
    <row r="23" spans="1:13" x14ac:dyDescent="0.25">
      <c r="A23" s="4" t="s">
        <v>75</v>
      </c>
      <c r="B23" s="4" t="s">
        <v>76</v>
      </c>
      <c r="C23" s="5" t="s">
        <v>77</v>
      </c>
      <c r="D23" s="54">
        <v>3.7</v>
      </c>
      <c r="E23" s="5" t="s">
        <v>71</v>
      </c>
      <c r="F23" s="5" t="s">
        <v>18</v>
      </c>
      <c r="G23" s="5" t="s">
        <v>19</v>
      </c>
      <c r="H23" s="9">
        <v>50</v>
      </c>
      <c r="I23" s="29" t="s">
        <v>48</v>
      </c>
      <c r="J23" s="27" t="s">
        <v>21</v>
      </c>
      <c r="K23" s="79">
        <f>VLOOKUP(C:C,Sheet2!B:H,7,0)</f>
        <v>185</v>
      </c>
      <c r="M23" s="45"/>
    </row>
    <row r="24" spans="1:13" x14ac:dyDescent="0.25">
      <c r="A24" s="4" t="s">
        <v>78</v>
      </c>
      <c r="B24" s="4" t="s">
        <v>73</v>
      </c>
      <c r="C24" s="5" t="s">
        <v>79</v>
      </c>
      <c r="D24" s="84" t="s">
        <v>64</v>
      </c>
      <c r="E24" s="5" t="s">
        <v>17</v>
      </c>
      <c r="F24" s="5" t="s">
        <v>61</v>
      </c>
      <c r="G24" s="5" t="s">
        <v>19</v>
      </c>
      <c r="H24" s="9">
        <v>26.25</v>
      </c>
      <c r="I24" s="29" t="s">
        <v>20</v>
      </c>
      <c r="J24" s="27" t="s">
        <v>21</v>
      </c>
      <c r="K24" s="79">
        <f>VLOOKUP(C:C,Sheet2!B:H,7,0)</f>
        <v>114</v>
      </c>
      <c r="M24" s="45"/>
    </row>
    <row r="25" spans="1:13" x14ac:dyDescent="0.25">
      <c r="A25" s="4" t="s">
        <v>80</v>
      </c>
      <c r="B25" s="4" t="s">
        <v>73</v>
      </c>
      <c r="C25" s="5" t="s">
        <v>81</v>
      </c>
      <c r="D25" s="54">
        <v>3.8</v>
      </c>
      <c r="E25" s="5" t="s">
        <v>17</v>
      </c>
      <c r="F25" s="5" t="s">
        <v>61</v>
      </c>
      <c r="G25" s="5" t="s">
        <v>19</v>
      </c>
      <c r="H25" s="9"/>
      <c r="I25" s="29" t="s">
        <v>20</v>
      </c>
      <c r="J25" s="27" t="s">
        <v>21</v>
      </c>
      <c r="K25" s="79">
        <f>VLOOKUP(C:C,Sheet2!B:H,7,0)</f>
        <v>114</v>
      </c>
      <c r="M25" s="45"/>
    </row>
    <row r="26" spans="1:13" x14ac:dyDescent="0.25">
      <c r="A26" s="4" t="s">
        <v>80</v>
      </c>
      <c r="B26" s="4" t="s">
        <v>73</v>
      </c>
      <c r="C26" s="5" t="s">
        <v>82</v>
      </c>
      <c r="D26" s="84" t="s">
        <v>64</v>
      </c>
      <c r="E26" s="5" t="s">
        <v>17</v>
      </c>
      <c r="F26" s="5" t="s">
        <v>61</v>
      </c>
      <c r="G26" s="5" t="s">
        <v>19</v>
      </c>
      <c r="H26" s="9"/>
      <c r="I26" s="29" t="s">
        <v>20</v>
      </c>
      <c r="J26" s="27" t="s">
        <v>21</v>
      </c>
      <c r="K26" s="79" t="e">
        <f>VLOOKUP(C:C,Sheet2!B:H,7,0)</f>
        <v>#N/A</v>
      </c>
      <c r="M26" s="45"/>
    </row>
    <row r="27" spans="1:13" x14ac:dyDescent="0.25">
      <c r="A27" s="4" t="s">
        <v>83</v>
      </c>
      <c r="B27" s="4" t="s">
        <v>73</v>
      </c>
      <c r="C27" s="5" t="s">
        <v>84</v>
      </c>
      <c r="D27" s="54">
        <v>3.8</v>
      </c>
      <c r="E27" s="5" t="s">
        <v>17</v>
      </c>
      <c r="F27" s="5" t="s">
        <v>26</v>
      </c>
      <c r="G27" s="5" t="s">
        <v>19</v>
      </c>
      <c r="H27" s="9">
        <v>26.25</v>
      </c>
      <c r="I27" s="29" t="s">
        <v>20</v>
      </c>
      <c r="J27" s="27" t="s">
        <v>21</v>
      </c>
      <c r="K27" s="79" t="e">
        <f>VLOOKUP(C:C,Sheet2!B:H,7,0)</f>
        <v>#N/A</v>
      </c>
      <c r="M27" s="45"/>
    </row>
    <row r="28" spans="1:13" x14ac:dyDescent="0.25">
      <c r="A28" s="4" t="s">
        <v>85</v>
      </c>
      <c r="B28" s="4" t="s">
        <v>73</v>
      </c>
      <c r="C28" s="5" t="s">
        <v>86</v>
      </c>
      <c r="D28" s="54">
        <v>3.8</v>
      </c>
      <c r="E28" s="5" t="s">
        <v>17</v>
      </c>
      <c r="F28" s="5" t="s">
        <v>26</v>
      </c>
      <c r="G28" s="5" t="s">
        <v>19</v>
      </c>
      <c r="H28" s="9">
        <v>26.25</v>
      </c>
      <c r="I28" s="29" t="s">
        <v>20</v>
      </c>
      <c r="J28" s="27" t="s">
        <v>21</v>
      </c>
      <c r="K28" s="79" t="e">
        <f>VLOOKUP(C:C,Sheet2!B:H,7,0)</f>
        <v>#N/A</v>
      </c>
      <c r="M28" s="45"/>
    </row>
    <row r="29" spans="1:13" x14ac:dyDescent="0.25">
      <c r="A29" s="4" t="s">
        <v>87</v>
      </c>
      <c r="B29" s="4" t="s">
        <v>88</v>
      </c>
      <c r="C29" s="5" t="s">
        <v>89</v>
      </c>
      <c r="D29" s="54">
        <v>4.0999999999999996</v>
      </c>
      <c r="E29" s="5" t="s">
        <v>90</v>
      </c>
      <c r="F29" s="5" t="s">
        <v>61</v>
      </c>
      <c r="G29" s="5" t="s">
        <v>19</v>
      </c>
      <c r="H29" s="9">
        <v>30</v>
      </c>
      <c r="I29" s="29" t="s">
        <v>91</v>
      </c>
      <c r="J29" s="27" t="s">
        <v>39</v>
      </c>
      <c r="K29" s="79">
        <f>VLOOKUP(C:C,Sheet2!B:H,7,0)</f>
        <v>123</v>
      </c>
      <c r="M29" s="45"/>
    </row>
    <row r="30" spans="1:13" x14ac:dyDescent="0.25">
      <c r="A30" s="4" t="s">
        <v>92</v>
      </c>
      <c r="B30" s="4" t="s">
        <v>88</v>
      </c>
      <c r="C30" s="5" t="s">
        <v>93</v>
      </c>
      <c r="D30" s="54">
        <v>4.8</v>
      </c>
      <c r="E30" s="5" t="s">
        <v>90</v>
      </c>
      <c r="F30" s="5" t="s">
        <v>61</v>
      </c>
      <c r="G30" s="5" t="s">
        <v>19</v>
      </c>
      <c r="H30" s="9">
        <v>30</v>
      </c>
      <c r="I30" s="29" t="s">
        <v>91</v>
      </c>
      <c r="J30" s="27" t="s">
        <v>39</v>
      </c>
      <c r="K30" s="79">
        <f>VLOOKUP(C:C,Sheet2!B:H,7,0)</f>
        <v>144</v>
      </c>
      <c r="M30" s="45"/>
    </row>
    <row r="31" spans="1:13" x14ac:dyDescent="0.25">
      <c r="A31" s="4" t="s">
        <v>94</v>
      </c>
      <c r="B31" s="4" t="s">
        <v>88</v>
      </c>
      <c r="C31" s="5" t="s">
        <v>95</v>
      </c>
      <c r="D31" s="54">
        <v>5.9</v>
      </c>
      <c r="E31" s="5" t="s">
        <v>90</v>
      </c>
      <c r="F31" s="5" t="s">
        <v>61</v>
      </c>
      <c r="G31" s="5" t="s">
        <v>19</v>
      </c>
      <c r="H31" s="9">
        <v>30</v>
      </c>
      <c r="I31" s="29" t="s">
        <v>91</v>
      </c>
      <c r="J31" s="27" t="s">
        <v>39</v>
      </c>
      <c r="K31" s="79">
        <f>VLOOKUP(C:C,Sheet2!B:H,7,0)</f>
        <v>177</v>
      </c>
      <c r="M31" s="45"/>
    </row>
    <row r="32" spans="1:13" x14ac:dyDescent="0.25">
      <c r="A32" s="4" t="s">
        <v>96</v>
      </c>
      <c r="B32" s="47" t="s">
        <v>88</v>
      </c>
      <c r="C32" s="5" t="s">
        <v>97</v>
      </c>
      <c r="D32" s="54">
        <v>6.2</v>
      </c>
      <c r="E32" s="5" t="s">
        <v>90</v>
      </c>
      <c r="F32" s="5" t="s">
        <v>61</v>
      </c>
      <c r="G32" s="5" t="s">
        <v>19</v>
      </c>
      <c r="H32" s="9">
        <v>30</v>
      </c>
      <c r="I32" s="29" t="s">
        <v>91</v>
      </c>
      <c r="J32" s="27" t="s">
        <v>39</v>
      </c>
      <c r="K32" s="79">
        <f>VLOOKUP(C:C,Sheet2!B:H,7,0)</f>
        <v>186</v>
      </c>
      <c r="M32" s="45"/>
    </row>
    <row r="33" spans="1:13" x14ac:dyDescent="0.25">
      <c r="A33" s="48" t="s">
        <v>98</v>
      </c>
      <c r="B33" s="50" t="e">
        <v>#N/A</v>
      </c>
      <c r="C33" s="49" t="s">
        <v>99</v>
      </c>
      <c r="D33" s="54">
        <v>4.2</v>
      </c>
      <c r="E33" s="5" t="s">
        <v>43</v>
      </c>
      <c r="F33" s="5" t="s">
        <v>100</v>
      </c>
      <c r="G33" s="5" t="s">
        <v>19</v>
      </c>
      <c r="H33" s="9">
        <v>30</v>
      </c>
      <c r="I33" s="29" t="s">
        <v>101</v>
      </c>
      <c r="J33" s="27" t="s">
        <v>21</v>
      </c>
      <c r="K33" s="79">
        <f>VLOOKUP(C:C,Sheet2!B:H,7,0)</f>
        <v>126</v>
      </c>
      <c r="M33" s="45"/>
    </row>
    <row r="34" spans="1:13" ht="15.75" customHeight="1" x14ac:dyDescent="0.25">
      <c r="A34" s="12"/>
      <c r="B34" s="12"/>
      <c r="C34" s="13"/>
      <c r="D34" s="55"/>
      <c r="E34" s="13"/>
      <c r="F34" s="13"/>
      <c r="G34" s="13"/>
      <c r="H34" s="14"/>
      <c r="I34" s="30"/>
      <c r="K34" s="79" t="e">
        <f>VLOOKUP(C:C,Sheet2!B:H,7,0)</f>
        <v>#N/A</v>
      </c>
      <c r="M34" s="45"/>
    </row>
    <row r="35" spans="1:13" ht="15.75" customHeight="1" x14ac:dyDescent="0.25">
      <c r="A35" s="7" t="s">
        <v>102</v>
      </c>
      <c r="B35" s="23"/>
      <c r="C35" s="23"/>
      <c r="D35" s="58"/>
      <c r="E35" s="23"/>
      <c r="F35" s="23"/>
      <c r="G35" s="23"/>
      <c r="H35" s="23"/>
      <c r="I35" s="33"/>
      <c r="J35" s="33"/>
      <c r="K35" s="79" t="e">
        <f>VLOOKUP(C:C,Sheet2!B:H,7,0)</f>
        <v>#N/A</v>
      </c>
      <c r="M35" s="45"/>
    </row>
    <row r="36" spans="1:13" x14ac:dyDescent="0.25">
      <c r="A36" s="3" t="s">
        <v>4</v>
      </c>
      <c r="B36" s="3" t="s">
        <v>5</v>
      </c>
      <c r="C36" s="3" t="s">
        <v>6</v>
      </c>
      <c r="D36" s="15" t="s">
        <v>7</v>
      </c>
      <c r="E36" s="3" t="s">
        <v>8</v>
      </c>
      <c r="F36" s="3" t="s">
        <v>9</v>
      </c>
      <c r="G36" s="3" t="s">
        <v>10</v>
      </c>
      <c r="H36" s="8" t="s">
        <v>11</v>
      </c>
      <c r="I36" s="15" t="s">
        <v>12</v>
      </c>
      <c r="J36" s="31" t="s">
        <v>13</v>
      </c>
      <c r="K36" s="79" t="e">
        <f>VLOOKUP(C:C,Sheet2!B:H,7,0)</f>
        <v>#N/A</v>
      </c>
      <c r="M36" s="45"/>
    </row>
    <row r="37" spans="1:13" x14ac:dyDescent="0.25">
      <c r="A37" s="4" t="s">
        <v>103</v>
      </c>
      <c r="B37" s="4" t="s">
        <v>104</v>
      </c>
      <c r="C37" s="5" t="s">
        <v>105</v>
      </c>
      <c r="D37" s="54">
        <v>10.9</v>
      </c>
      <c r="E37" s="5" t="s">
        <v>25</v>
      </c>
      <c r="F37" s="5" t="s">
        <v>26</v>
      </c>
      <c r="G37" s="5" t="s">
        <v>106</v>
      </c>
      <c r="H37" s="9">
        <v>24</v>
      </c>
      <c r="I37" s="29" t="s">
        <v>48</v>
      </c>
      <c r="J37" s="27" t="s">
        <v>21</v>
      </c>
      <c r="K37" s="79">
        <f>VLOOKUP(C:C,Sheet2!B:H,7,0)</f>
        <v>261.60000000000002</v>
      </c>
      <c r="M37" s="45"/>
    </row>
    <row r="38" spans="1:13" x14ac:dyDescent="0.25">
      <c r="A38" s="4" t="s">
        <v>107</v>
      </c>
      <c r="B38" s="4" t="s">
        <v>104</v>
      </c>
      <c r="C38" s="5" t="s">
        <v>108</v>
      </c>
      <c r="D38" s="54">
        <v>10.5</v>
      </c>
      <c r="E38" s="5" t="s">
        <v>25</v>
      </c>
      <c r="F38" s="5" t="s">
        <v>26</v>
      </c>
      <c r="G38" s="5" t="s">
        <v>106</v>
      </c>
      <c r="H38" s="9">
        <v>24</v>
      </c>
      <c r="I38" s="29" t="s">
        <v>48</v>
      </c>
      <c r="J38" s="27" t="s">
        <v>21</v>
      </c>
      <c r="K38" s="79">
        <f>VLOOKUP(C:C,Sheet2!B:H,7,0)</f>
        <v>252</v>
      </c>
      <c r="M38" s="45"/>
    </row>
    <row r="39" spans="1:13" x14ac:dyDescent="0.25">
      <c r="A39" s="4" t="s">
        <v>109</v>
      </c>
      <c r="B39" s="4" t="s">
        <v>104</v>
      </c>
      <c r="C39" s="5" t="s">
        <v>110</v>
      </c>
      <c r="D39" s="54">
        <v>8.5</v>
      </c>
      <c r="E39" s="5" t="s">
        <v>25</v>
      </c>
      <c r="F39" s="5" t="s">
        <v>26</v>
      </c>
      <c r="G39" s="5" t="s">
        <v>106</v>
      </c>
      <c r="H39" s="9">
        <v>24</v>
      </c>
      <c r="I39" s="29" t="s">
        <v>48</v>
      </c>
      <c r="J39" s="27" t="s">
        <v>21</v>
      </c>
      <c r="K39" s="79">
        <f>VLOOKUP(C:C,Sheet2!B:H,7,0)</f>
        <v>204</v>
      </c>
      <c r="M39" s="45"/>
    </row>
    <row r="40" spans="1:13" x14ac:dyDescent="0.25">
      <c r="A40" s="4" t="s">
        <v>111</v>
      </c>
      <c r="B40" s="4" t="s">
        <v>104</v>
      </c>
      <c r="C40" s="5" t="s">
        <v>112</v>
      </c>
      <c r="D40" s="54">
        <v>7.4</v>
      </c>
      <c r="E40" s="5" t="s">
        <v>25</v>
      </c>
      <c r="F40" s="5" t="s">
        <v>26</v>
      </c>
      <c r="G40" s="5" t="s">
        <v>106</v>
      </c>
      <c r="H40" s="9">
        <v>24</v>
      </c>
      <c r="I40" s="29" t="s">
        <v>48</v>
      </c>
      <c r="J40" s="27" t="s">
        <v>21</v>
      </c>
      <c r="K40" s="79">
        <f>VLOOKUP(C:C,Sheet2!B:H,7,0)</f>
        <v>177.6</v>
      </c>
      <c r="M40" s="45"/>
    </row>
    <row r="41" spans="1:13" x14ac:dyDescent="0.25">
      <c r="A41" s="4" t="s">
        <v>113</v>
      </c>
      <c r="B41" s="4" t="s">
        <v>114</v>
      </c>
      <c r="C41" s="5" t="s">
        <v>115</v>
      </c>
      <c r="D41" s="54">
        <v>1.6</v>
      </c>
      <c r="E41" s="5" t="s">
        <v>116</v>
      </c>
      <c r="F41" s="5" t="s">
        <v>26</v>
      </c>
      <c r="G41" s="5" t="s">
        <v>19</v>
      </c>
      <c r="H41" s="9">
        <v>27</v>
      </c>
      <c r="I41" s="29" t="s">
        <v>20</v>
      </c>
      <c r="J41" s="27" t="s">
        <v>21</v>
      </c>
      <c r="K41" s="79">
        <f>VLOOKUP(C:C,Sheet2!B:H,7,0)</f>
        <v>96</v>
      </c>
      <c r="M41" s="45"/>
    </row>
    <row r="42" spans="1:13" x14ac:dyDescent="0.25">
      <c r="A42" s="4" t="s">
        <v>117</v>
      </c>
      <c r="B42" s="4" t="s">
        <v>118</v>
      </c>
      <c r="C42" s="5" t="s">
        <v>119</v>
      </c>
      <c r="D42" s="54">
        <v>1.6</v>
      </c>
      <c r="E42" s="5" t="s">
        <v>116</v>
      </c>
      <c r="F42" s="5" t="s">
        <v>26</v>
      </c>
      <c r="G42" s="5" t="s">
        <v>19</v>
      </c>
      <c r="H42" s="9">
        <v>27</v>
      </c>
      <c r="I42" s="29" t="s">
        <v>20</v>
      </c>
      <c r="J42" s="27" t="s">
        <v>21</v>
      </c>
      <c r="K42" s="79">
        <f>VLOOKUP(C:C,Sheet2!B:H,7,0)</f>
        <v>96</v>
      </c>
      <c r="M42" s="45"/>
    </row>
    <row r="43" spans="1:13" x14ac:dyDescent="0.25">
      <c r="A43" s="4" t="s">
        <v>120</v>
      </c>
      <c r="B43" s="4" t="s">
        <v>121</v>
      </c>
      <c r="C43" s="5" t="s">
        <v>122</v>
      </c>
      <c r="D43" s="54">
        <v>1.75</v>
      </c>
      <c r="E43" s="5" t="s">
        <v>116</v>
      </c>
      <c r="F43" s="5" t="s">
        <v>26</v>
      </c>
      <c r="G43" s="5" t="s">
        <v>19</v>
      </c>
      <c r="H43" s="9">
        <v>26</v>
      </c>
      <c r="I43" s="29" t="s">
        <v>20</v>
      </c>
      <c r="J43" s="27" t="s">
        <v>21</v>
      </c>
      <c r="K43" s="79">
        <f>VLOOKUP(C:C,Sheet2!B:H,7,0)</f>
        <v>105</v>
      </c>
      <c r="M43" s="45"/>
    </row>
    <row r="44" spans="1:13" x14ac:dyDescent="0.25">
      <c r="A44" s="17" t="s">
        <v>123</v>
      </c>
      <c r="B44" s="4" t="s">
        <v>124</v>
      </c>
      <c r="C44" s="5" t="s">
        <v>125</v>
      </c>
      <c r="D44" s="54">
        <v>4.7</v>
      </c>
      <c r="E44" s="5" t="s">
        <v>126</v>
      </c>
      <c r="F44" s="5" t="s">
        <v>127</v>
      </c>
      <c r="G44" s="5" t="s">
        <v>106</v>
      </c>
      <c r="H44" s="9">
        <v>40</v>
      </c>
      <c r="I44" s="29" t="s">
        <v>48</v>
      </c>
      <c r="J44" s="27" t="s">
        <v>21</v>
      </c>
      <c r="K44" s="79">
        <f>VLOOKUP(C:C,Sheet2!B:H,7,0)</f>
        <v>188</v>
      </c>
      <c r="M44" s="45"/>
    </row>
    <row r="45" spans="1:13" x14ac:dyDescent="0.25">
      <c r="A45" s="17" t="s">
        <v>128</v>
      </c>
      <c r="B45" s="4" t="s">
        <v>124</v>
      </c>
      <c r="C45" s="5" t="s">
        <v>129</v>
      </c>
      <c r="D45" s="54">
        <v>4.5</v>
      </c>
      <c r="E45" s="5" t="s">
        <v>126</v>
      </c>
      <c r="F45" s="5" t="s">
        <v>127</v>
      </c>
      <c r="G45" s="5" t="s">
        <v>106</v>
      </c>
      <c r="H45" s="9">
        <v>40</v>
      </c>
      <c r="I45" s="29" t="s">
        <v>48</v>
      </c>
      <c r="J45" s="27" t="s">
        <v>21</v>
      </c>
      <c r="K45" s="79">
        <f>VLOOKUP(C:C,Sheet2!B:H,7,0)</f>
        <v>180</v>
      </c>
      <c r="M45" s="45"/>
    </row>
    <row r="46" spans="1:13" x14ac:dyDescent="0.25">
      <c r="A46" s="17" t="s">
        <v>130</v>
      </c>
      <c r="B46" s="4" t="s">
        <v>131</v>
      </c>
      <c r="C46" s="5" t="s">
        <v>132</v>
      </c>
      <c r="D46" s="54">
        <v>3.6</v>
      </c>
      <c r="E46" s="5" t="s">
        <v>133</v>
      </c>
      <c r="F46" s="5" t="s">
        <v>127</v>
      </c>
      <c r="G46" s="5" t="s">
        <v>106</v>
      </c>
      <c r="H46" s="9">
        <v>40</v>
      </c>
      <c r="I46" s="29" t="s">
        <v>48</v>
      </c>
      <c r="J46" s="27" t="s">
        <v>21</v>
      </c>
      <c r="K46" s="79">
        <f>VLOOKUP(C:C,Sheet2!B:H,7,0)</f>
        <v>144</v>
      </c>
      <c r="M46" s="45"/>
    </row>
    <row r="47" spans="1:13" x14ac:dyDescent="0.25">
      <c r="A47" s="4" t="s">
        <v>134</v>
      </c>
      <c r="B47" s="4" t="s">
        <v>131</v>
      </c>
      <c r="C47" s="5" t="s">
        <v>135</v>
      </c>
      <c r="D47" s="54">
        <v>3.3</v>
      </c>
      <c r="E47" s="5" t="s">
        <v>126</v>
      </c>
      <c r="F47" s="5" t="s">
        <v>127</v>
      </c>
      <c r="G47" s="5" t="s">
        <v>106</v>
      </c>
      <c r="H47" s="9">
        <v>40</v>
      </c>
      <c r="I47" s="29" t="s">
        <v>48</v>
      </c>
      <c r="J47" s="27" t="s">
        <v>21</v>
      </c>
      <c r="K47" s="79">
        <f>VLOOKUP(C:C,Sheet2!B:H,7,0)</f>
        <v>132</v>
      </c>
      <c r="M47" s="45"/>
    </row>
    <row r="48" spans="1:13" x14ac:dyDescent="0.25">
      <c r="A48" s="4" t="s">
        <v>136</v>
      </c>
      <c r="B48" s="4" t="s">
        <v>137</v>
      </c>
      <c r="C48" s="5" t="s">
        <v>138</v>
      </c>
      <c r="D48" s="54">
        <v>4.9000000000000004</v>
      </c>
      <c r="E48" s="5" t="s">
        <v>139</v>
      </c>
      <c r="F48" s="5" t="s">
        <v>127</v>
      </c>
      <c r="G48" s="5" t="s">
        <v>106</v>
      </c>
      <c r="H48" s="9">
        <v>24</v>
      </c>
      <c r="I48" s="29" t="s">
        <v>48</v>
      </c>
      <c r="J48" s="27" t="s">
        <v>21</v>
      </c>
      <c r="K48" s="79">
        <f>VLOOKUP(C:C,Sheet2!B:H,7,0)</f>
        <v>117.6</v>
      </c>
      <c r="M48" s="45"/>
    </row>
    <row r="49" spans="1:13" x14ac:dyDescent="0.25">
      <c r="A49" s="4" t="s">
        <v>140</v>
      </c>
      <c r="B49" s="4" t="s">
        <v>137</v>
      </c>
      <c r="C49" s="5" t="s">
        <v>141</v>
      </c>
      <c r="D49" s="54">
        <v>4.0999999999999996</v>
      </c>
      <c r="E49" s="5" t="s">
        <v>139</v>
      </c>
      <c r="F49" s="5" t="s">
        <v>127</v>
      </c>
      <c r="G49" s="5" t="s">
        <v>106</v>
      </c>
      <c r="H49" s="9">
        <v>24</v>
      </c>
      <c r="I49" s="29" t="s">
        <v>48</v>
      </c>
      <c r="J49" s="27" t="s">
        <v>21</v>
      </c>
      <c r="K49" s="79">
        <f>VLOOKUP(C:C,Sheet2!B:H,7,0)</f>
        <v>98.4</v>
      </c>
      <c r="M49" s="45"/>
    </row>
    <row r="50" spans="1:13" x14ac:dyDescent="0.25">
      <c r="A50" s="4" t="s">
        <v>142</v>
      </c>
      <c r="B50" s="47" t="s">
        <v>137</v>
      </c>
      <c r="C50" s="5" t="s">
        <v>143</v>
      </c>
      <c r="D50" s="54">
        <v>3.9</v>
      </c>
      <c r="E50" s="5" t="s">
        <v>139</v>
      </c>
      <c r="F50" s="5" t="s">
        <v>127</v>
      </c>
      <c r="G50" s="5" t="s">
        <v>106</v>
      </c>
      <c r="H50" s="9">
        <v>24</v>
      </c>
      <c r="I50" s="29" t="s">
        <v>48</v>
      </c>
      <c r="J50" s="27" t="s">
        <v>21</v>
      </c>
      <c r="K50" s="79">
        <f>VLOOKUP(C:C,Sheet2!B:H,7,0)</f>
        <v>93.6</v>
      </c>
      <c r="M50" s="45"/>
    </row>
    <row r="51" spans="1:13" x14ac:dyDescent="0.25">
      <c r="A51" s="48" t="s">
        <v>144</v>
      </c>
      <c r="B51" s="50" t="s">
        <v>137</v>
      </c>
      <c r="C51" s="49" t="s">
        <v>145</v>
      </c>
      <c r="D51" s="54">
        <v>3.4</v>
      </c>
      <c r="E51" s="5" t="s">
        <v>139</v>
      </c>
      <c r="F51" s="5" t="s">
        <v>127</v>
      </c>
      <c r="G51" s="5" t="s">
        <v>106</v>
      </c>
      <c r="H51" s="9">
        <v>24</v>
      </c>
      <c r="I51" s="29" t="s">
        <v>48</v>
      </c>
      <c r="J51" s="27" t="s">
        <v>21</v>
      </c>
      <c r="K51" s="79">
        <f>VLOOKUP(C:C,Sheet2!B:H,7,0)</f>
        <v>81.599999999999994</v>
      </c>
      <c r="M51" s="45"/>
    </row>
    <row r="52" spans="1:13" ht="15.75" customHeight="1" x14ac:dyDescent="0.25">
      <c r="B52" s="12"/>
      <c r="D52" s="55"/>
      <c r="I52" s="30"/>
      <c r="K52" s="79" t="e">
        <f>VLOOKUP(C:C,Sheet2!B:H,7,0)</f>
        <v>#N/A</v>
      </c>
      <c r="M52" s="45"/>
    </row>
    <row r="53" spans="1:13" ht="15.75" customHeight="1" x14ac:dyDescent="0.25">
      <c r="A53" s="7" t="s">
        <v>146</v>
      </c>
      <c r="B53" s="7"/>
      <c r="C53" s="7"/>
      <c r="D53" s="58"/>
      <c r="E53" s="7"/>
      <c r="F53" s="7"/>
      <c r="G53" s="7"/>
      <c r="H53" s="23"/>
      <c r="I53" s="33"/>
      <c r="J53" s="33"/>
      <c r="K53" s="79" t="e">
        <f>VLOOKUP(C:C,Sheet2!B:H,7,0)</f>
        <v>#N/A</v>
      </c>
      <c r="M53" s="45"/>
    </row>
    <row r="54" spans="1:13" x14ac:dyDescent="0.25">
      <c r="A54" s="3" t="s">
        <v>4</v>
      </c>
      <c r="B54" s="3" t="s">
        <v>5</v>
      </c>
      <c r="C54" s="3" t="s">
        <v>6</v>
      </c>
      <c r="D54" s="15" t="s">
        <v>7</v>
      </c>
      <c r="E54" s="3" t="s">
        <v>8</v>
      </c>
      <c r="F54" s="3" t="s">
        <v>9</v>
      </c>
      <c r="G54" s="3" t="s">
        <v>10</v>
      </c>
      <c r="H54" s="8" t="s">
        <v>11</v>
      </c>
      <c r="I54" s="15" t="s">
        <v>12</v>
      </c>
      <c r="J54" s="31" t="s">
        <v>13</v>
      </c>
      <c r="K54" s="79" t="e">
        <f>VLOOKUP(C:C,Sheet2!B:H,7,0)</f>
        <v>#N/A</v>
      </c>
      <c r="M54" s="45"/>
    </row>
    <row r="55" spans="1:13" x14ac:dyDescent="0.25">
      <c r="A55" s="4" t="s">
        <v>147</v>
      </c>
      <c r="B55" s="4" t="s">
        <v>148</v>
      </c>
      <c r="C55" s="5" t="s">
        <v>149</v>
      </c>
      <c r="D55" s="54" t="s">
        <v>150</v>
      </c>
      <c r="E55" s="5" t="s">
        <v>151</v>
      </c>
      <c r="F55" s="5" t="s">
        <v>18</v>
      </c>
      <c r="G55" s="5" t="s">
        <v>19</v>
      </c>
      <c r="H55" s="9">
        <v>24</v>
      </c>
      <c r="I55" s="29" t="s">
        <v>101</v>
      </c>
      <c r="J55" s="27" t="s">
        <v>21</v>
      </c>
      <c r="K55" s="79">
        <f>VLOOKUP(C:C,Sheet2!B:H,7,0)</f>
        <v>0</v>
      </c>
      <c r="M55" s="45"/>
    </row>
    <row r="56" spans="1:13" x14ac:dyDescent="0.25">
      <c r="A56" s="4" t="s">
        <v>152</v>
      </c>
      <c r="B56" s="47" t="s">
        <v>148</v>
      </c>
      <c r="C56" s="5" t="s">
        <v>153</v>
      </c>
      <c r="D56" s="54">
        <v>3.2</v>
      </c>
      <c r="E56" s="5" t="s">
        <v>17</v>
      </c>
      <c r="F56" s="5" t="s">
        <v>18</v>
      </c>
      <c r="G56" s="5" t="s">
        <v>19</v>
      </c>
      <c r="H56" s="9">
        <v>26.25</v>
      </c>
      <c r="I56" s="29" t="s">
        <v>101</v>
      </c>
      <c r="J56" s="27" t="s">
        <v>21</v>
      </c>
      <c r="K56" s="79">
        <f>VLOOKUP(C:C,Sheet2!B:H,7,0)</f>
        <v>96</v>
      </c>
      <c r="M56" s="45"/>
    </row>
    <row r="57" spans="1:13" x14ac:dyDescent="0.25">
      <c r="A57" s="48" t="s">
        <v>154</v>
      </c>
      <c r="B57" s="50" t="s">
        <v>148</v>
      </c>
      <c r="C57" s="49" t="s">
        <v>155</v>
      </c>
      <c r="D57" s="85">
        <v>0</v>
      </c>
      <c r="E57" s="5" t="s">
        <v>17</v>
      </c>
      <c r="F57" s="5" t="s">
        <v>100</v>
      </c>
      <c r="G57" s="5" t="s">
        <v>19</v>
      </c>
      <c r="H57" s="9">
        <v>26.25</v>
      </c>
      <c r="I57" s="29" t="s">
        <v>101</v>
      </c>
      <c r="J57" s="27" t="s">
        <v>21</v>
      </c>
      <c r="K57" s="79">
        <f>VLOOKUP(C:C,Sheet2!B:H,7,0)</f>
        <v>0</v>
      </c>
      <c r="M57" s="45"/>
    </row>
    <row r="58" spans="1:13" ht="15.75" customHeight="1" x14ac:dyDescent="0.25">
      <c r="B58" s="12"/>
      <c r="D58" s="55"/>
      <c r="I58" s="30"/>
      <c r="K58" s="79" t="e">
        <f>VLOOKUP(C:C,Sheet2!B:H,7,0)</f>
        <v>#N/A</v>
      </c>
      <c r="M58" s="45"/>
    </row>
    <row r="59" spans="1:13" ht="15.75" customHeight="1" x14ac:dyDescent="0.25">
      <c r="A59" s="7" t="s">
        <v>156</v>
      </c>
      <c r="B59" s="7"/>
      <c r="C59" s="7"/>
      <c r="D59" s="46"/>
      <c r="E59" s="7"/>
      <c r="F59" s="7"/>
      <c r="G59" s="7"/>
      <c r="H59" s="7"/>
      <c r="I59" s="32"/>
      <c r="J59" s="32"/>
      <c r="K59" s="79" t="e">
        <f>VLOOKUP(C:C,Sheet2!B:H,7,0)</f>
        <v>#N/A</v>
      </c>
      <c r="M59" s="45"/>
    </row>
    <row r="60" spans="1:13" x14ac:dyDescent="0.25">
      <c r="A60" s="3" t="s">
        <v>4</v>
      </c>
      <c r="B60" s="3" t="s">
        <v>5</v>
      </c>
      <c r="C60" s="3" t="s">
        <v>6</v>
      </c>
      <c r="D60" s="15" t="s">
        <v>7</v>
      </c>
      <c r="E60" s="3" t="s">
        <v>8</v>
      </c>
      <c r="F60" s="3" t="s">
        <v>9</v>
      </c>
      <c r="G60" s="3" t="s">
        <v>10</v>
      </c>
      <c r="H60" s="8" t="s">
        <v>11</v>
      </c>
      <c r="I60" s="15" t="s">
        <v>12</v>
      </c>
      <c r="J60" s="31" t="s">
        <v>13</v>
      </c>
      <c r="K60" s="79" t="e">
        <f>VLOOKUP(C:C,Sheet2!B:H,7,0)</f>
        <v>#N/A</v>
      </c>
      <c r="M60" s="45"/>
    </row>
    <row r="61" spans="1:13" x14ac:dyDescent="0.25">
      <c r="A61" s="4" t="s">
        <v>157</v>
      </c>
      <c r="B61" s="4" t="s">
        <v>158</v>
      </c>
      <c r="C61" s="5" t="s">
        <v>159</v>
      </c>
      <c r="D61" s="54">
        <v>8.3000000000000007</v>
      </c>
      <c r="E61" s="5" t="s">
        <v>160</v>
      </c>
      <c r="F61" s="5" t="s">
        <v>26</v>
      </c>
      <c r="G61" s="5" t="s">
        <v>19</v>
      </c>
      <c r="H61" s="9">
        <v>20</v>
      </c>
      <c r="I61" s="29" t="s">
        <v>161</v>
      </c>
      <c r="J61" s="27" t="s">
        <v>21</v>
      </c>
      <c r="K61" s="79">
        <f>VLOOKUP(C:C,Sheet2!B:H,7,0)</f>
        <v>199.2</v>
      </c>
      <c r="M61" s="45"/>
    </row>
    <row r="62" spans="1:13" x14ac:dyDescent="0.25">
      <c r="A62" s="4" t="s">
        <v>162</v>
      </c>
      <c r="B62" s="4" t="s">
        <v>163</v>
      </c>
      <c r="C62" s="5" t="s">
        <v>164</v>
      </c>
      <c r="D62" s="54">
        <v>5.8</v>
      </c>
      <c r="E62" s="5" t="s">
        <v>160</v>
      </c>
      <c r="F62" s="5" t="s">
        <v>26</v>
      </c>
      <c r="G62" s="5" t="s">
        <v>19</v>
      </c>
      <c r="H62" s="9">
        <v>18</v>
      </c>
      <c r="I62" s="29" t="s">
        <v>161</v>
      </c>
      <c r="J62" s="27" t="s">
        <v>21</v>
      </c>
      <c r="K62" s="79">
        <f>VLOOKUP(C:C,Sheet2!B:H,7,0)</f>
        <v>139.19999999999999</v>
      </c>
      <c r="M62" s="45"/>
    </row>
    <row r="63" spans="1:13" x14ac:dyDescent="0.25">
      <c r="A63" s="4" t="s">
        <v>165</v>
      </c>
      <c r="B63" s="4" t="s">
        <v>166</v>
      </c>
      <c r="C63" s="5" t="s">
        <v>167</v>
      </c>
      <c r="D63" s="54">
        <v>2.2999999999999998</v>
      </c>
      <c r="E63" s="5" t="s">
        <v>17</v>
      </c>
      <c r="F63" s="5" t="s">
        <v>26</v>
      </c>
      <c r="G63" s="5" t="s">
        <v>19</v>
      </c>
      <c r="H63" s="9">
        <v>26.25</v>
      </c>
      <c r="I63" s="29" t="s">
        <v>20</v>
      </c>
      <c r="J63" s="27" t="s">
        <v>21</v>
      </c>
      <c r="K63" s="79">
        <f>VLOOKUP(C:C,Sheet2!B:H,7,0)</f>
        <v>69</v>
      </c>
      <c r="M63" s="45"/>
    </row>
    <row r="64" spans="1:13" x14ac:dyDescent="0.25">
      <c r="A64" s="4" t="s">
        <v>168</v>
      </c>
      <c r="B64" s="47" t="s">
        <v>169</v>
      </c>
      <c r="C64" s="5" t="s">
        <v>170</v>
      </c>
      <c r="D64" s="54">
        <v>2.2000000000000002</v>
      </c>
      <c r="E64" s="5" t="s">
        <v>43</v>
      </c>
      <c r="F64" s="5" t="s">
        <v>18</v>
      </c>
      <c r="G64" s="5" t="s">
        <v>19</v>
      </c>
      <c r="H64" s="9">
        <v>30</v>
      </c>
      <c r="I64" s="29" t="s">
        <v>20</v>
      </c>
      <c r="J64" s="27" t="s">
        <v>21</v>
      </c>
      <c r="K64" s="79">
        <f>VLOOKUP(C:C,Sheet2!B:H,7,0)</f>
        <v>66</v>
      </c>
      <c r="M64" s="45"/>
    </row>
    <row r="65" spans="1:13" x14ac:dyDescent="0.25">
      <c r="A65" s="48" t="s">
        <v>171</v>
      </c>
      <c r="B65" s="50" t="s">
        <v>169</v>
      </c>
      <c r="C65" s="49" t="s">
        <v>172</v>
      </c>
      <c r="D65" s="54">
        <v>2.2000000000000002</v>
      </c>
      <c r="E65" s="5" t="s">
        <v>43</v>
      </c>
      <c r="F65" s="5" t="s">
        <v>18</v>
      </c>
      <c r="G65" s="5" t="s">
        <v>19</v>
      </c>
      <c r="H65" s="9">
        <v>30</v>
      </c>
      <c r="I65" s="29" t="s">
        <v>20</v>
      </c>
      <c r="J65" s="27" t="s">
        <v>21</v>
      </c>
      <c r="K65" s="79">
        <f>VLOOKUP(C:C,Sheet2!B:H,7,0)</f>
        <v>66</v>
      </c>
      <c r="M65" s="45"/>
    </row>
    <row r="66" spans="1:13" ht="15.75" customHeight="1" x14ac:dyDescent="0.25">
      <c r="B66" s="12"/>
      <c r="D66" s="55"/>
      <c r="I66" s="30"/>
      <c r="K66" s="79" t="e">
        <f>VLOOKUP(C:C,Sheet2!B:H,7,0)</f>
        <v>#N/A</v>
      </c>
      <c r="M66" s="45"/>
    </row>
    <row r="67" spans="1:13" ht="15.75" customHeight="1" x14ac:dyDescent="0.25">
      <c r="A67" s="7" t="s">
        <v>173</v>
      </c>
      <c r="B67" s="7"/>
      <c r="C67" s="7"/>
      <c r="D67" s="56"/>
      <c r="E67" s="7"/>
      <c r="F67" s="7"/>
      <c r="G67" s="7"/>
      <c r="H67" s="16"/>
      <c r="I67" s="32"/>
      <c r="J67" s="32"/>
      <c r="K67" s="79" t="e">
        <f>VLOOKUP(C:C,Sheet2!B:H,7,0)</f>
        <v>#N/A</v>
      </c>
      <c r="M67" s="45"/>
    </row>
    <row r="68" spans="1:13" x14ac:dyDescent="0.25">
      <c r="A68" s="3" t="s">
        <v>4</v>
      </c>
      <c r="B68" s="3" t="s">
        <v>5</v>
      </c>
      <c r="C68" s="3" t="s">
        <v>6</v>
      </c>
      <c r="D68" s="15" t="s">
        <v>7</v>
      </c>
      <c r="E68" s="3" t="s">
        <v>8</v>
      </c>
      <c r="F68" s="3" t="s">
        <v>9</v>
      </c>
      <c r="G68" s="3" t="s">
        <v>10</v>
      </c>
      <c r="H68" s="8" t="s">
        <v>11</v>
      </c>
      <c r="I68" s="15" t="s">
        <v>12</v>
      </c>
      <c r="J68" s="31" t="s">
        <v>13</v>
      </c>
      <c r="K68" s="79" t="e">
        <f>VLOOKUP(C:C,Sheet2!B:H,7,0)</f>
        <v>#N/A</v>
      </c>
      <c r="M68" s="45"/>
    </row>
    <row r="69" spans="1:13" x14ac:dyDescent="0.25">
      <c r="A69" s="4" t="s">
        <v>174</v>
      </c>
      <c r="B69" s="4" t="s">
        <v>175</v>
      </c>
      <c r="C69" s="5" t="s">
        <v>176</v>
      </c>
      <c r="D69" s="54">
        <v>3</v>
      </c>
      <c r="E69" s="5" t="s">
        <v>177</v>
      </c>
      <c r="F69" s="5" t="s">
        <v>26</v>
      </c>
      <c r="G69" s="5" t="s">
        <v>19</v>
      </c>
      <c r="H69" s="9">
        <v>40</v>
      </c>
      <c r="I69" s="29" t="s">
        <v>91</v>
      </c>
      <c r="J69" s="27" t="s">
        <v>39</v>
      </c>
      <c r="K69" s="79">
        <f>VLOOKUP(C:C,Sheet2!B:H,7,0)</f>
        <v>120</v>
      </c>
      <c r="M69" s="45"/>
    </row>
    <row r="70" spans="1:13" x14ac:dyDescent="0.25">
      <c r="A70" s="4" t="s">
        <v>178</v>
      </c>
      <c r="B70" s="4" t="s">
        <v>175</v>
      </c>
      <c r="C70" s="5" t="s">
        <v>179</v>
      </c>
      <c r="D70" s="54">
        <v>3.2</v>
      </c>
      <c r="E70" s="5" t="s">
        <v>177</v>
      </c>
      <c r="F70" s="5" t="s">
        <v>26</v>
      </c>
      <c r="G70" s="5" t="s">
        <v>19</v>
      </c>
      <c r="H70" s="9">
        <v>40</v>
      </c>
      <c r="I70" s="29" t="s">
        <v>91</v>
      </c>
      <c r="J70" s="27" t="s">
        <v>39</v>
      </c>
      <c r="K70" s="79">
        <f>VLOOKUP(C:C,Sheet2!B:H,7,0)</f>
        <v>128</v>
      </c>
      <c r="M70" s="45"/>
    </row>
    <row r="71" spans="1:13" x14ac:dyDescent="0.25">
      <c r="A71" s="4" t="s">
        <v>180</v>
      </c>
      <c r="B71" s="4" t="s">
        <v>181</v>
      </c>
      <c r="C71" s="5" t="s">
        <v>182</v>
      </c>
      <c r="D71" s="54">
        <v>3</v>
      </c>
      <c r="E71" s="5" t="s">
        <v>177</v>
      </c>
      <c r="F71" s="5" t="s">
        <v>18</v>
      </c>
      <c r="G71" s="5" t="s">
        <v>106</v>
      </c>
      <c r="H71" s="9">
        <v>40</v>
      </c>
      <c r="I71" s="29" t="s">
        <v>91</v>
      </c>
      <c r="J71" s="29" t="s">
        <v>39</v>
      </c>
      <c r="K71" s="79">
        <f>VLOOKUP(C:C,Sheet2!B:H,7,0)</f>
        <v>120</v>
      </c>
      <c r="M71" s="45"/>
    </row>
    <row r="72" spans="1:13" x14ac:dyDescent="0.25">
      <c r="A72" s="4" t="s">
        <v>183</v>
      </c>
      <c r="B72" s="4" t="s">
        <v>181</v>
      </c>
      <c r="C72" s="5" t="s">
        <v>184</v>
      </c>
      <c r="D72" s="54">
        <v>3.1</v>
      </c>
      <c r="E72" s="5" t="s">
        <v>177</v>
      </c>
      <c r="F72" s="5" t="s">
        <v>18</v>
      </c>
      <c r="G72" s="5" t="s">
        <v>106</v>
      </c>
      <c r="H72" s="9">
        <v>40</v>
      </c>
      <c r="I72" s="29" t="s">
        <v>91</v>
      </c>
      <c r="J72" s="29" t="s">
        <v>39</v>
      </c>
      <c r="K72" s="79">
        <f>VLOOKUP(C:C,Sheet2!B:H,7,0)</f>
        <v>124</v>
      </c>
      <c r="M72" s="45"/>
    </row>
    <row r="73" spans="1:13" x14ac:dyDescent="0.25">
      <c r="A73" s="4" t="s">
        <v>185</v>
      </c>
      <c r="B73" s="4" t="s">
        <v>181</v>
      </c>
      <c r="C73" s="5" t="s">
        <v>186</v>
      </c>
      <c r="D73" s="54">
        <v>3.3</v>
      </c>
      <c r="E73" s="5" t="s">
        <v>177</v>
      </c>
      <c r="F73" s="5" t="s">
        <v>18</v>
      </c>
      <c r="G73" s="5" t="s">
        <v>106</v>
      </c>
      <c r="H73" s="9">
        <v>40</v>
      </c>
      <c r="I73" s="29" t="s">
        <v>91</v>
      </c>
      <c r="J73" s="27" t="s">
        <v>39</v>
      </c>
      <c r="K73" s="79">
        <f>VLOOKUP(C:C,Sheet2!B:H,7,0)</f>
        <v>132</v>
      </c>
      <c r="M73" s="45"/>
    </row>
    <row r="74" spans="1:13" x14ac:dyDescent="0.25">
      <c r="A74" s="4" t="s">
        <v>187</v>
      </c>
      <c r="B74" s="47" t="s">
        <v>181</v>
      </c>
      <c r="C74" s="5" t="s">
        <v>188</v>
      </c>
      <c r="D74" s="77">
        <v>3.7</v>
      </c>
      <c r="E74" s="5" t="s">
        <v>177</v>
      </c>
      <c r="F74" s="5" t="s">
        <v>18</v>
      </c>
      <c r="G74" s="5" t="s">
        <v>106</v>
      </c>
      <c r="H74" s="9">
        <v>40</v>
      </c>
      <c r="I74" s="29" t="s">
        <v>91</v>
      </c>
      <c r="J74" s="27" t="s">
        <v>39</v>
      </c>
      <c r="K74" s="79">
        <f>VLOOKUP(C:C,Sheet2!B:H,7,0)</f>
        <v>148</v>
      </c>
      <c r="M74" s="45"/>
    </row>
    <row r="75" spans="1:13" x14ac:dyDescent="0.25">
      <c r="A75" s="48" t="s">
        <v>189</v>
      </c>
      <c r="B75" s="50" t="s">
        <v>181</v>
      </c>
      <c r="C75" s="49" t="s">
        <v>190</v>
      </c>
      <c r="D75" s="54">
        <v>3.95</v>
      </c>
      <c r="E75" s="5" t="s">
        <v>177</v>
      </c>
      <c r="F75" s="5" t="s">
        <v>18</v>
      </c>
      <c r="G75" s="5" t="s">
        <v>106</v>
      </c>
      <c r="H75" s="9">
        <v>40</v>
      </c>
      <c r="I75" s="29" t="s">
        <v>91</v>
      </c>
      <c r="J75" s="27" t="s">
        <v>39</v>
      </c>
      <c r="K75" s="79">
        <f>VLOOKUP(C:C,Sheet2!B:H,7,0)</f>
        <v>158</v>
      </c>
      <c r="M75" s="45"/>
    </row>
    <row r="76" spans="1:13" ht="15.75" customHeight="1" x14ac:dyDescent="0.25">
      <c r="B76" s="12"/>
      <c r="D76" s="55"/>
      <c r="I76" s="30"/>
      <c r="K76" s="79" t="e">
        <f>VLOOKUP(C:C,Sheet2!B:H,7,0)</f>
        <v>#N/A</v>
      </c>
      <c r="M76" s="45"/>
    </row>
    <row r="77" spans="1:13" ht="15.75" customHeight="1" x14ac:dyDescent="0.25">
      <c r="A77" s="7" t="s">
        <v>191</v>
      </c>
      <c r="B77" s="7"/>
      <c r="C77" s="7"/>
      <c r="D77" s="46"/>
      <c r="E77" s="7"/>
      <c r="F77" s="7"/>
      <c r="G77" s="7"/>
      <c r="H77" s="7"/>
      <c r="I77" s="32"/>
      <c r="J77" s="32"/>
      <c r="K77" s="79" t="e">
        <f>VLOOKUP(C:C,Sheet2!B:H,7,0)</f>
        <v>#N/A</v>
      </c>
      <c r="M77" s="45"/>
    </row>
    <row r="78" spans="1:13" x14ac:dyDescent="0.25">
      <c r="A78" s="3" t="s">
        <v>4</v>
      </c>
      <c r="B78" s="3" t="s">
        <v>5</v>
      </c>
      <c r="C78" s="3" t="s">
        <v>6</v>
      </c>
      <c r="D78" s="15" t="s">
        <v>7</v>
      </c>
      <c r="E78" s="3" t="s">
        <v>8</v>
      </c>
      <c r="F78" s="3" t="s">
        <v>9</v>
      </c>
      <c r="G78" s="3" t="s">
        <v>10</v>
      </c>
      <c r="H78" s="8" t="s">
        <v>11</v>
      </c>
      <c r="I78" s="15" t="s">
        <v>12</v>
      </c>
      <c r="J78" s="31" t="s">
        <v>13</v>
      </c>
      <c r="K78" s="79" t="e">
        <f>VLOOKUP(C:C,Sheet2!B:H,7,0)</f>
        <v>#N/A</v>
      </c>
      <c r="M78" s="45"/>
    </row>
    <row r="79" spans="1:13" x14ac:dyDescent="0.25">
      <c r="A79" s="4" t="s">
        <v>192</v>
      </c>
      <c r="B79" s="4" t="s">
        <v>193</v>
      </c>
      <c r="C79" s="5" t="s">
        <v>194</v>
      </c>
      <c r="D79" s="54">
        <v>4.8</v>
      </c>
      <c r="E79" s="5" t="s">
        <v>195</v>
      </c>
      <c r="F79" s="5" t="s">
        <v>18</v>
      </c>
      <c r="G79" s="5" t="s">
        <v>106</v>
      </c>
      <c r="H79" s="9">
        <v>30</v>
      </c>
      <c r="I79" s="29" t="s">
        <v>48</v>
      </c>
      <c r="J79" s="27" t="s">
        <v>39</v>
      </c>
      <c r="K79" s="79">
        <f>VLOOKUP(C:C,Sheet2!B:H,7,0)</f>
        <v>144</v>
      </c>
      <c r="M79" s="45"/>
    </row>
    <row r="80" spans="1:13" x14ac:dyDescent="0.25">
      <c r="A80" s="4" t="s">
        <v>196</v>
      </c>
      <c r="B80" s="4" t="s">
        <v>197</v>
      </c>
      <c r="C80" s="5" t="s">
        <v>198</v>
      </c>
      <c r="D80" s="54">
        <v>4.8</v>
      </c>
      <c r="E80" s="5" t="s">
        <v>195</v>
      </c>
      <c r="F80" s="5" t="s">
        <v>26</v>
      </c>
      <c r="G80" s="5" t="s">
        <v>106</v>
      </c>
      <c r="H80" s="9">
        <v>30</v>
      </c>
      <c r="I80" s="29" t="s">
        <v>48</v>
      </c>
      <c r="J80" s="27" t="s">
        <v>39</v>
      </c>
      <c r="K80" s="79">
        <f>VLOOKUP(C:C,Sheet2!B:H,7,0)</f>
        <v>144</v>
      </c>
      <c r="M80" s="45"/>
    </row>
    <row r="81" spans="1:13" x14ac:dyDescent="0.25">
      <c r="A81" s="4" t="s">
        <v>199</v>
      </c>
      <c r="B81" s="4" t="s">
        <v>193</v>
      </c>
      <c r="C81" s="5" t="s">
        <v>200</v>
      </c>
      <c r="D81" s="84" t="s">
        <v>64</v>
      </c>
      <c r="E81" s="5" t="s">
        <v>195</v>
      </c>
      <c r="F81" s="5" t="s">
        <v>18</v>
      </c>
      <c r="G81" s="5" t="s">
        <v>106</v>
      </c>
      <c r="H81" s="9">
        <v>30</v>
      </c>
      <c r="I81" s="29" t="s">
        <v>48</v>
      </c>
      <c r="J81" s="27" t="s">
        <v>39</v>
      </c>
      <c r="K81" s="79" t="e">
        <f>VLOOKUP(C:C,Sheet2!B:H,7,0)</f>
        <v>#N/A</v>
      </c>
      <c r="M81" s="45"/>
    </row>
    <row r="82" spans="1:13" x14ac:dyDescent="0.25">
      <c r="A82" s="17" t="s">
        <v>201</v>
      </c>
      <c r="B82" s="4" t="s">
        <v>193</v>
      </c>
      <c r="C82" s="5" t="s">
        <v>202</v>
      </c>
      <c r="D82" s="54">
        <v>6</v>
      </c>
      <c r="E82" s="5" t="s">
        <v>43</v>
      </c>
      <c r="F82" s="5" t="s">
        <v>18</v>
      </c>
      <c r="G82" s="5" t="s">
        <v>106</v>
      </c>
      <c r="H82" s="9">
        <v>30</v>
      </c>
      <c r="I82" s="29" t="s">
        <v>20</v>
      </c>
      <c r="J82" s="27" t="s">
        <v>21</v>
      </c>
      <c r="K82" s="79">
        <f>VLOOKUP(C:C,Sheet2!B:H,7,0)</f>
        <v>180</v>
      </c>
      <c r="M82" s="45"/>
    </row>
    <row r="83" spans="1:13" x14ac:dyDescent="0.25">
      <c r="A83" s="4" t="s">
        <v>203</v>
      </c>
      <c r="B83" s="4" t="s">
        <v>197</v>
      </c>
      <c r="C83" s="5" t="s">
        <v>204</v>
      </c>
      <c r="D83" s="54">
        <v>5.3</v>
      </c>
      <c r="E83" s="5" t="s">
        <v>195</v>
      </c>
      <c r="F83" s="5" t="s">
        <v>26</v>
      </c>
      <c r="G83" s="5" t="s">
        <v>106</v>
      </c>
      <c r="H83" s="9">
        <v>30</v>
      </c>
      <c r="I83" s="29" t="s">
        <v>48</v>
      </c>
      <c r="J83" s="27" t="s">
        <v>39</v>
      </c>
      <c r="K83" s="79">
        <f>VLOOKUP(C:C,Sheet2!B:H,7,0)</f>
        <v>159</v>
      </c>
      <c r="M83" s="45"/>
    </row>
    <row r="84" spans="1:13" x14ac:dyDescent="0.25">
      <c r="A84" s="4" t="s">
        <v>205</v>
      </c>
      <c r="B84" s="4" t="s">
        <v>193</v>
      </c>
      <c r="C84" s="5" t="s">
        <v>206</v>
      </c>
      <c r="D84" s="54">
        <v>4.9000000000000004</v>
      </c>
      <c r="E84" s="5" t="s">
        <v>195</v>
      </c>
      <c r="F84" s="5" t="s">
        <v>18</v>
      </c>
      <c r="G84" s="5" t="s">
        <v>106</v>
      </c>
      <c r="H84" s="9">
        <v>30</v>
      </c>
      <c r="I84" s="29" t="s">
        <v>48</v>
      </c>
      <c r="J84" s="27" t="s">
        <v>39</v>
      </c>
      <c r="K84" s="79">
        <f>VLOOKUP(C:C,Sheet2!B:H,7,0)</f>
        <v>147</v>
      </c>
      <c r="M84" s="45"/>
    </row>
    <row r="85" spans="1:13" x14ac:dyDescent="0.25">
      <c r="A85" s="4" t="s">
        <v>207</v>
      </c>
      <c r="B85" s="4" t="s">
        <v>197</v>
      </c>
      <c r="C85" s="5" t="s">
        <v>208</v>
      </c>
      <c r="D85" s="54">
        <v>5</v>
      </c>
      <c r="E85" s="5" t="s">
        <v>195</v>
      </c>
      <c r="F85" s="5" t="s">
        <v>26</v>
      </c>
      <c r="G85" s="5" t="s">
        <v>106</v>
      </c>
      <c r="H85" s="9">
        <v>30</v>
      </c>
      <c r="I85" s="29" t="s">
        <v>48</v>
      </c>
      <c r="J85" s="27" t="s">
        <v>39</v>
      </c>
      <c r="K85" s="79">
        <f>VLOOKUP(C:C,Sheet2!B:H,7,0)</f>
        <v>150</v>
      </c>
      <c r="M85" s="45"/>
    </row>
    <row r="86" spans="1:13" x14ac:dyDescent="0.25">
      <c r="A86" s="4" t="s">
        <v>209</v>
      </c>
      <c r="B86" s="47" t="s">
        <v>193</v>
      </c>
      <c r="C86" s="5" t="s">
        <v>210</v>
      </c>
      <c r="D86" s="54">
        <v>4.9000000000000004</v>
      </c>
      <c r="E86" s="5" t="s">
        <v>195</v>
      </c>
      <c r="F86" s="5" t="s">
        <v>18</v>
      </c>
      <c r="G86" s="5" t="s">
        <v>106</v>
      </c>
      <c r="H86" s="9">
        <v>30</v>
      </c>
      <c r="I86" s="29" t="s">
        <v>48</v>
      </c>
      <c r="J86" s="27" t="s">
        <v>39</v>
      </c>
      <c r="K86" s="79">
        <f>VLOOKUP(C:C,Sheet2!B:H,7,0)</f>
        <v>147</v>
      </c>
      <c r="M86" s="45"/>
    </row>
    <row r="87" spans="1:13" x14ac:dyDescent="0.25">
      <c r="A87" s="48" t="s">
        <v>211</v>
      </c>
      <c r="B87" s="50" t="s">
        <v>193</v>
      </c>
      <c r="C87" s="49" t="s">
        <v>212</v>
      </c>
      <c r="D87" s="54">
        <v>4</v>
      </c>
      <c r="E87" s="5" t="s">
        <v>213</v>
      </c>
      <c r="F87" s="5" t="s">
        <v>18</v>
      </c>
      <c r="G87" s="5" t="s">
        <v>106</v>
      </c>
      <c r="H87" s="9">
        <v>22</v>
      </c>
      <c r="I87" s="29" t="s">
        <v>20</v>
      </c>
      <c r="J87" s="27" t="s">
        <v>21</v>
      </c>
      <c r="K87" s="79">
        <f>VLOOKUP(C:C,Sheet2!B:H,7,0)</f>
        <v>88</v>
      </c>
      <c r="M87" s="45"/>
    </row>
    <row r="88" spans="1:13" ht="15.75" customHeight="1" x14ac:dyDescent="0.25">
      <c r="B88" s="12"/>
      <c r="D88" s="55"/>
      <c r="I88" s="30"/>
      <c r="K88" s="79" t="e">
        <f>VLOOKUP(C:C,Sheet2!B:H,7,0)</f>
        <v>#N/A</v>
      </c>
      <c r="M88" s="45"/>
    </row>
    <row r="89" spans="1:13" ht="15.75" customHeight="1" x14ac:dyDescent="0.25">
      <c r="A89" s="7" t="s">
        <v>214</v>
      </c>
      <c r="B89" s="7"/>
      <c r="C89" s="7"/>
      <c r="D89" s="56"/>
      <c r="E89" s="7"/>
      <c r="F89" s="7"/>
      <c r="G89" s="7"/>
      <c r="H89" s="7"/>
      <c r="I89" s="32"/>
      <c r="J89" s="32"/>
      <c r="K89" s="79" t="e">
        <f>VLOOKUP(C:C,Sheet2!B:H,7,0)</f>
        <v>#N/A</v>
      </c>
      <c r="M89" s="45"/>
    </row>
    <row r="90" spans="1:13" x14ac:dyDescent="0.25">
      <c r="A90" s="3" t="s">
        <v>4</v>
      </c>
      <c r="B90" s="3" t="s">
        <v>5</v>
      </c>
      <c r="C90" s="3" t="s">
        <v>6</v>
      </c>
      <c r="D90" s="15" t="s">
        <v>7</v>
      </c>
      <c r="E90" s="3" t="s">
        <v>8</v>
      </c>
      <c r="F90" s="3" t="s">
        <v>9</v>
      </c>
      <c r="G90" s="3" t="s">
        <v>10</v>
      </c>
      <c r="H90" s="8" t="s">
        <v>11</v>
      </c>
      <c r="I90" s="15" t="s">
        <v>12</v>
      </c>
      <c r="J90" s="31" t="s">
        <v>13</v>
      </c>
      <c r="K90" s="79" t="e">
        <f>VLOOKUP(C:C,Sheet2!B:H,7,0)</f>
        <v>#N/A</v>
      </c>
      <c r="M90" s="45"/>
    </row>
    <row r="91" spans="1:13" x14ac:dyDescent="0.25">
      <c r="A91" s="4" t="s">
        <v>215</v>
      </c>
      <c r="B91" s="4" t="s">
        <v>216</v>
      </c>
      <c r="C91" s="5" t="s">
        <v>217</v>
      </c>
      <c r="D91" s="54">
        <v>3</v>
      </c>
      <c r="E91" s="5" t="s">
        <v>218</v>
      </c>
      <c r="F91" s="5" t="s">
        <v>219</v>
      </c>
      <c r="G91" s="5" t="s">
        <v>106</v>
      </c>
      <c r="H91" s="9">
        <v>20</v>
      </c>
      <c r="I91" s="29" t="s">
        <v>101</v>
      </c>
      <c r="J91" s="27" t="s">
        <v>21</v>
      </c>
      <c r="K91" s="79">
        <f>VLOOKUP(C:C,Sheet2!B:H,7,0)</f>
        <v>60</v>
      </c>
      <c r="M91" s="45"/>
    </row>
    <row r="92" spans="1:13" x14ac:dyDescent="0.25">
      <c r="A92" s="4" t="s">
        <v>220</v>
      </c>
      <c r="B92" s="4" t="s">
        <v>221</v>
      </c>
      <c r="C92" s="5" t="s">
        <v>222</v>
      </c>
      <c r="D92" s="54">
        <v>1.7</v>
      </c>
      <c r="E92" s="5" t="s">
        <v>223</v>
      </c>
      <c r="F92" s="5" t="s">
        <v>18</v>
      </c>
      <c r="G92" s="5" t="s">
        <v>106</v>
      </c>
      <c r="H92" s="9">
        <v>20</v>
      </c>
      <c r="I92" s="29" t="s">
        <v>20</v>
      </c>
      <c r="J92" s="27" t="s">
        <v>21</v>
      </c>
      <c r="K92" s="79">
        <f>VLOOKUP(C:C,Sheet2!B:H,7,0)</f>
        <v>34</v>
      </c>
      <c r="M92" s="45"/>
    </row>
    <row r="93" spans="1:13" x14ac:dyDescent="0.25">
      <c r="A93" s="4" t="s">
        <v>224</v>
      </c>
      <c r="B93" s="4" t="s">
        <v>225</v>
      </c>
      <c r="C93" s="5" t="s">
        <v>226</v>
      </c>
      <c r="D93" s="54">
        <v>4.75</v>
      </c>
      <c r="E93" s="5" t="s">
        <v>25</v>
      </c>
      <c r="F93" s="5" t="s">
        <v>227</v>
      </c>
      <c r="G93" s="5" t="s">
        <v>106</v>
      </c>
      <c r="H93" s="9">
        <v>24</v>
      </c>
      <c r="I93" s="29" t="s">
        <v>101</v>
      </c>
      <c r="J93" s="27" t="s">
        <v>21</v>
      </c>
      <c r="K93" s="79">
        <f>VLOOKUP(C:C,Sheet2!B:H,7,0)</f>
        <v>114</v>
      </c>
      <c r="M93" s="45"/>
    </row>
    <row r="94" spans="1:13" x14ac:dyDescent="0.25">
      <c r="A94" s="4" t="s">
        <v>228</v>
      </c>
      <c r="B94" s="4" t="s">
        <v>229</v>
      </c>
      <c r="C94" s="5" t="s">
        <v>230</v>
      </c>
      <c r="D94" s="84" t="s">
        <v>64</v>
      </c>
      <c r="E94" s="5" t="s">
        <v>17</v>
      </c>
      <c r="F94" s="5" t="s">
        <v>26</v>
      </c>
      <c r="G94" s="5" t="s">
        <v>19</v>
      </c>
      <c r="H94" s="9">
        <v>26.25</v>
      </c>
      <c r="I94" s="29" t="s">
        <v>20</v>
      </c>
      <c r="J94" s="27" t="s">
        <v>21</v>
      </c>
      <c r="K94" s="79" t="e">
        <f>VLOOKUP(C:C,Sheet2!B:H,7,0)</f>
        <v>#N/A</v>
      </c>
      <c r="M94" s="45"/>
    </row>
    <row r="95" spans="1:13" x14ac:dyDescent="0.25">
      <c r="A95" s="4" t="s">
        <v>231</v>
      </c>
      <c r="B95" s="4" t="s">
        <v>232</v>
      </c>
      <c r="C95" s="5" t="s">
        <v>233</v>
      </c>
      <c r="D95" s="54">
        <v>3.7</v>
      </c>
      <c r="E95" s="5" t="s">
        <v>17</v>
      </c>
      <c r="F95" s="5" t="s">
        <v>18</v>
      </c>
      <c r="G95" s="5" t="s">
        <v>19</v>
      </c>
      <c r="H95" s="9">
        <v>26.25</v>
      </c>
      <c r="I95" s="29" t="s">
        <v>101</v>
      </c>
      <c r="J95" s="27" t="s">
        <v>21</v>
      </c>
      <c r="K95" s="79">
        <f>VLOOKUP(C:C,Sheet2!B:H,7,0)</f>
        <v>111</v>
      </c>
      <c r="M95" s="45"/>
    </row>
    <row r="96" spans="1:13" x14ac:dyDescent="0.25">
      <c r="A96" s="4" t="s">
        <v>234</v>
      </c>
      <c r="B96" s="4" t="s">
        <v>232</v>
      </c>
      <c r="C96" s="5" t="s">
        <v>235</v>
      </c>
      <c r="D96" s="54">
        <v>3.7</v>
      </c>
      <c r="E96" s="5" t="s">
        <v>17</v>
      </c>
      <c r="F96" s="5" t="s">
        <v>26</v>
      </c>
      <c r="G96" s="5" t="s">
        <v>19</v>
      </c>
      <c r="H96" s="9">
        <v>26.25</v>
      </c>
      <c r="I96" s="29" t="s">
        <v>101</v>
      </c>
      <c r="J96" s="27" t="s">
        <v>21</v>
      </c>
      <c r="K96" s="79">
        <f>VLOOKUP(C:C,Sheet2!B:H,7,0)</f>
        <v>111</v>
      </c>
      <c r="M96" s="45"/>
    </row>
    <row r="97" spans="1:13" x14ac:dyDescent="0.25">
      <c r="A97" s="4" t="s">
        <v>236</v>
      </c>
      <c r="B97" s="4" t="s">
        <v>237</v>
      </c>
      <c r="C97" s="5" t="s">
        <v>238</v>
      </c>
      <c r="D97" s="54">
        <v>2.6</v>
      </c>
      <c r="E97" s="5" t="s">
        <v>239</v>
      </c>
      <c r="F97" s="5" t="s">
        <v>26</v>
      </c>
      <c r="G97" s="5" t="s">
        <v>106</v>
      </c>
      <c r="H97" s="9">
        <v>10</v>
      </c>
      <c r="I97" s="29" t="s">
        <v>20</v>
      </c>
      <c r="J97" s="27" t="s">
        <v>21</v>
      </c>
      <c r="K97" s="79">
        <f>VLOOKUP(C:C,Sheet2!B:H,7,0)</f>
        <v>26</v>
      </c>
      <c r="M97" s="45"/>
    </row>
    <row r="98" spans="1:13" x14ac:dyDescent="0.25">
      <c r="A98" s="4" t="s">
        <v>240</v>
      </c>
      <c r="B98" s="4" t="s">
        <v>237</v>
      </c>
      <c r="C98" s="5" t="s">
        <v>241</v>
      </c>
      <c r="D98" s="84" t="s">
        <v>64</v>
      </c>
      <c r="E98" s="5" t="s">
        <v>218</v>
      </c>
      <c r="F98" s="5" t="s">
        <v>26</v>
      </c>
      <c r="G98" s="5" t="s">
        <v>106</v>
      </c>
      <c r="H98" s="9">
        <v>20</v>
      </c>
      <c r="I98" s="29" t="s">
        <v>20</v>
      </c>
      <c r="J98" s="27" t="s">
        <v>21</v>
      </c>
      <c r="K98" s="79" t="e">
        <f>VLOOKUP(C:C,Sheet2!B:H,7,0)</f>
        <v>#N/A</v>
      </c>
      <c r="M98" s="45"/>
    </row>
    <row r="99" spans="1:13" x14ac:dyDescent="0.25">
      <c r="A99" s="4" t="s">
        <v>242</v>
      </c>
      <c r="B99" s="4" t="s">
        <v>237</v>
      </c>
      <c r="C99" s="5" t="s">
        <v>243</v>
      </c>
      <c r="D99" s="54">
        <v>2.2000000000000002</v>
      </c>
      <c r="E99" s="5" t="s">
        <v>218</v>
      </c>
      <c r="F99" s="5" t="s">
        <v>26</v>
      </c>
      <c r="G99" s="5" t="s">
        <v>106</v>
      </c>
      <c r="H99" s="9">
        <v>20</v>
      </c>
      <c r="I99" s="29" t="s">
        <v>20</v>
      </c>
      <c r="J99" s="27" t="s">
        <v>21</v>
      </c>
      <c r="K99" s="79">
        <f>VLOOKUP(C:C,Sheet2!B:H,7,0)</f>
        <v>44</v>
      </c>
      <c r="M99" s="45"/>
    </row>
    <row r="100" spans="1:13" x14ac:dyDescent="0.25">
      <c r="A100" s="4" t="s">
        <v>244</v>
      </c>
      <c r="B100" s="4" t="s">
        <v>237</v>
      </c>
      <c r="C100" s="5" t="s">
        <v>245</v>
      </c>
      <c r="D100" s="84" t="s">
        <v>64</v>
      </c>
      <c r="E100" s="5" t="s">
        <v>218</v>
      </c>
      <c r="F100" s="5" t="s">
        <v>26</v>
      </c>
      <c r="G100" s="5" t="s">
        <v>106</v>
      </c>
      <c r="H100" s="9">
        <v>20</v>
      </c>
      <c r="I100" s="29" t="s">
        <v>20</v>
      </c>
      <c r="J100" s="27" t="s">
        <v>21</v>
      </c>
      <c r="K100" s="79" t="e">
        <f>VLOOKUP(C:C,Sheet2!B:H,7,0)</f>
        <v>#N/A</v>
      </c>
      <c r="M100" s="45"/>
    </row>
    <row r="101" spans="1:13" x14ac:dyDescent="0.25">
      <c r="A101" s="4" t="s">
        <v>246</v>
      </c>
      <c r="B101" s="4" t="s">
        <v>247</v>
      </c>
      <c r="C101" s="5" t="s">
        <v>248</v>
      </c>
      <c r="D101" s="54">
        <v>6</v>
      </c>
      <c r="E101" s="5" t="s">
        <v>249</v>
      </c>
      <c r="F101" s="5" t="s">
        <v>18</v>
      </c>
      <c r="G101" s="5" t="s">
        <v>106</v>
      </c>
      <c r="H101" s="9">
        <v>15</v>
      </c>
      <c r="I101" s="29" t="s">
        <v>20</v>
      </c>
      <c r="J101" s="27" t="s">
        <v>21</v>
      </c>
      <c r="K101" s="79">
        <f>VLOOKUP(C:C,Sheet2!B:H,7,0)</f>
        <v>180</v>
      </c>
      <c r="M101" s="45"/>
    </row>
    <row r="102" spans="1:13" x14ac:dyDescent="0.25">
      <c r="A102" s="4" t="s">
        <v>250</v>
      </c>
      <c r="B102" s="4" t="s">
        <v>247</v>
      </c>
      <c r="C102" s="5" t="s">
        <v>251</v>
      </c>
      <c r="D102" s="54">
        <v>7</v>
      </c>
      <c r="E102" s="5" t="s">
        <v>249</v>
      </c>
      <c r="F102" s="5" t="s">
        <v>18</v>
      </c>
      <c r="G102" s="5" t="s">
        <v>106</v>
      </c>
      <c r="H102" s="9">
        <v>15</v>
      </c>
      <c r="I102" s="29" t="s">
        <v>20</v>
      </c>
      <c r="J102" s="27" t="s">
        <v>21</v>
      </c>
      <c r="K102" s="79">
        <f>VLOOKUP(C:C,Sheet2!B:H,7,0)</f>
        <v>210</v>
      </c>
      <c r="M102" s="45"/>
    </row>
    <row r="103" spans="1:13" x14ac:dyDescent="0.25">
      <c r="A103" s="4" t="s">
        <v>252</v>
      </c>
      <c r="B103" s="4" t="s">
        <v>253</v>
      </c>
      <c r="C103" s="5" t="s">
        <v>254</v>
      </c>
      <c r="D103" s="54">
        <v>3.9</v>
      </c>
      <c r="E103" s="5" t="s">
        <v>160</v>
      </c>
      <c r="F103" s="5" t="s">
        <v>26</v>
      </c>
      <c r="G103" s="5" t="s">
        <v>19</v>
      </c>
      <c r="H103" s="9">
        <v>18</v>
      </c>
      <c r="I103" s="29" t="s">
        <v>48</v>
      </c>
      <c r="J103" s="27" t="s">
        <v>21</v>
      </c>
      <c r="K103" s="79">
        <f>VLOOKUP(C:C,Sheet2!B:H,7,0)</f>
        <v>93.6</v>
      </c>
      <c r="M103" s="45"/>
    </row>
    <row r="104" spans="1:13" x14ac:dyDescent="0.25">
      <c r="A104" s="4" t="s">
        <v>255</v>
      </c>
      <c r="B104" s="4" t="s">
        <v>256</v>
      </c>
      <c r="C104" s="5" t="s">
        <v>257</v>
      </c>
      <c r="D104" s="54">
        <v>3.9</v>
      </c>
      <c r="E104" s="5" t="s">
        <v>160</v>
      </c>
      <c r="F104" s="5" t="s">
        <v>26</v>
      </c>
      <c r="G104" s="5" t="s">
        <v>19</v>
      </c>
      <c r="H104" s="9">
        <v>18</v>
      </c>
      <c r="I104" s="29" t="s">
        <v>20</v>
      </c>
      <c r="J104" s="27" t="s">
        <v>21</v>
      </c>
      <c r="K104" s="79">
        <f>VLOOKUP(C:C,Sheet2!B:H,7,0)</f>
        <v>93.6</v>
      </c>
      <c r="M104" s="45"/>
    </row>
    <row r="105" spans="1:13" x14ac:dyDescent="0.25">
      <c r="A105" s="4" t="s">
        <v>258</v>
      </c>
      <c r="B105" s="4" t="s">
        <v>259</v>
      </c>
      <c r="C105" s="5" t="s">
        <v>260</v>
      </c>
      <c r="D105" s="54">
        <v>3.2</v>
      </c>
      <c r="E105" s="5" t="s">
        <v>17</v>
      </c>
      <c r="F105" s="5" t="s">
        <v>26</v>
      </c>
      <c r="G105" s="5" t="s">
        <v>19</v>
      </c>
      <c r="H105" s="9">
        <v>26.25</v>
      </c>
      <c r="I105" s="29" t="s">
        <v>20</v>
      </c>
      <c r="J105" s="27" t="s">
        <v>21</v>
      </c>
      <c r="K105" s="79">
        <f>VLOOKUP(C:C,Sheet2!B:H,7,0)</f>
        <v>96</v>
      </c>
      <c r="M105" s="45"/>
    </row>
    <row r="106" spans="1:13" x14ac:dyDescent="0.25">
      <c r="A106" s="4" t="s">
        <v>261</v>
      </c>
      <c r="B106" s="4" t="s">
        <v>262</v>
      </c>
      <c r="C106" s="5" t="s">
        <v>263</v>
      </c>
      <c r="D106" s="54">
        <v>2.6</v>
      </c>
      <c r="E106" s="5" t="s">
        <v>90</v>
      </c>
      <c r="F106" s="5" t="s">
        <v>61</v>
      </c>
      <c r="G106" s="5" t="s">
        <v>19</v>
      </c>
      <c r="H106" s="9">
        <v>30</v>
      </c>
      <c r="I106" s="29" t="s">
        <v>39</v>
      </c>
      <c r="J106" s="27" t="s">
        <v>39</v>
      </c>
      <c r="K106" s="79">
        <f>VLOOKUP(C:C,Sheet2!B:H,7,0)</f>
        <v>78</v>
      </c>
      <c r="M106" s="45"/>
    </row>
    <row r="107" spans="1:13" x14ac:dyDescent="0.25">
      <c r="A107" s="4" t="s">
        <v>264</v>
      </c>
      <c r="B107" s="4" t="s">
        <v>265</v>
      </c>
      <c r="C107" s="5" t="s">
        <v>266</v>
      </c>
      <c r="D107" s="54">
        <v>3.7</v>
      </c>
      <c r="E107" s="5" t="s">
        <v>151</v>
      </c>
      <c r="F107" s="5" t="s">
        <v>26</v>
      </c>
      <c r="G107" s="5" t="s">
        <v>106</v>
      </c>
      <c r="H107" s="9">
        <v>24</v>
      </c>
      <c r="I107" s="29" t="s">
        <v>20</v>
      </c>
      <c r="J107" s="27" t="s">
        <v>21</v>
      </c>
      <c r="K107" s="79">
        <f>VLOOKUP(C:C,Sheet2!B:H,7,0)</f>
        <v>88.8</v>
      </c>
      <c r="M107" s="45"/>
    </row>
    <row r="108" spans="1:13" x14ac:dyDescent="0.25">
      <c r="A108" s="4" t="s">
        <v>267</v>
      </c>
      <c r="B108" s="4" t="s">
        <v>268</v>
      </c>
      <c r="C108" s="5" t="s">
        <v>269</v>
      </c>
      <c r="D108" s="54">
        <v>4.9000000000000004</v>
      </c>
      <c r="E108" s="5" t="s">
        <v>270</v>
      </c>
      <c r="F108" s="5" t="s">
        <v>61</v>
      </c>
      <c r="G108" s="5" t="s">
        <v>19</v>
      </c>
      <c r="H108" s="9">
        <v>30</v>
      </c>
      <c r="I108" s="29" t="s">
        <v>48</v>
      </c>
      <c r="J108" s="27" t="s">
        <v>21</v>
      </c>
      <c r="K108" s="79">
        <f>VLOOKUP(C:C,Sheet2!B:H,7,0)</f>
        <v>147</v>
      </c>
      <c r="M108" s="45"/>
    </row>
    <row r="109" spans="1:13" x14ac:dyDescent="0.25">
      <c r="A109" s="4" t="s">
        <v>271</v>
      </c>
      <c r="B109" s="4" t="s">
        <v>272</v>
      </c>
      <c r="C109" s="5" t="s">
        <v>273</v>
      </c>
      <c r="D109" s="54">
        <v>4</v>
      </c>
      <c r="E109" s="5" t="s">
        <v>274</v>
      </c>
      <c r="F109" s="5" t="s">
        <v>26</v>
      </c>
      <c r="G109" s="5" t="s">
        <v>19</v>
      </c>
      <c r="H109" s="9">
        <v>24</v>
      </c>
      <c r="I109" s="29" t="s">
        <v>48</v>
      </c>
      <c r="J109" s="27" t="s">
        <v>21</v>
      </c>
      <c r="K109" s="79">
        <f>VLOOKUP(C:C,Sheet2!B:H,7,0)</f>
        <v>96</v>
      </c>
      <c r="M109" s="45"/>
    </row>
    <row r="110" spans="1:13" x14ac:dyDescent="0.25">
      <c r="A110" s="4" t="s">
        <v>275</v>
      </c>
      <c r="B110" s="4" t="s">
        <v>276</v>
      </c>
      <c r="C110" s="5" t="s">
        <v>277</v>
      </c>
      <c r="D110" s="54">
        <v>4</v>
      </c>
      <c r="E110" s="5" t="s">
        <v>274</v>
      </c>
      <c r="F110" s="5" t="s">
        <v>26</v>
      </c>
      <c r="G110" s="5" t="s">
        <v>19</v>
      </c>
      <c r="H110" s="9">
        <v>24</v>
      </c>
      <c r="I110" s="29" t="s">
        <v>48</v>
      </c>
      <c r="J110" s="27" t="s">
        <v>21</v>
      </c>
      <c r="K110" s="79">
        <f>VLOOKUP(C:C,Sheet2!B:H,7,0)</f>
        <v>96</v>
      </c>
      <c r="M110" s="45"/>
    </row>
    <row r="111" spans="1:13" x14ac:dyDescent="0.25">
      <c r="A111" s="4" t="s">
        <v>278</v>
      </c>
      <c r="B111" s="4" t="s">
        <v>279</v>
      </c>
      <c r="C111" s="5" t="s">
        <v>280</v>
      </c>
      <c r="D111" s="54">
        <v>2.6</v>
      </c>
      <c r="E111" s="5" t="s">
        <v>17</v>
      </c>
      <c r="F111" s="5" t="s">
        <v>18</v>
      </c>
      <c r="G111" s="5" t="s">
        <v>19</v>
      </c>
      <c r="H111" s="9">
        <v>26.25</v>
      </c>
      <c r="I111" s="29" t="s">
        <v>20</v>
      </c>
      <c r="J111" s="27" t="s">
        <v>21</v>
      </c>
      <c r="K111" s="79">
        <f>VLOOKUP(C:C,Sheet2!B:H,7,0)</f>
        <v>78</v>
      </c>
      <c r="M111" s="45"/>
    </row>
    <row r="112" spans="1:13" x14ac:dyDescent="0.25">
      <c r="A112" s="4" t="s">
        <v>281</v>
      </c>
      <c r="B112" s="4" t="s">
        <v>282</v>
      </c>
      <c r="C112" s="5" t="s">
        <v>283</v>
      </c>
      <c r="D112" s="54">
        <v>3</v>
      </c>
      <c r="E112" s="5" t="s">
        <v>284</v>
      </c>
      <c r="F112" s="5" t="s">
        <v>61</v>
      </c>
      <c r="G112" s="5" t="s">
        <v>19</v>
      </c>
      <c r="H112" s="9">
        <v>22.5</v>
      </c>
      <c r="I112" s="29" t="s">
        <v>20</v>
      </c>
      <c r="J112" s="27" t="s">
        <v>21</v>
      </c>
      <c r="K112" s="79">
        <f>VLOOKUP(C:C,Sheet2!B:H,7,0)</f>
        <v>90</v>
      </c>
      <c r="M112" s="45"/>
    </row>
    <row r="113" spans="1:13" x14ac:dyDescent="0.25">
      <c r="A113" s="4" t="s">
        <v>285</v>
      </c>
      <c r="B113" s="4" t="s">
        <v>237</v>
      </c>
      <c r="C113" s="5" t="s">
        <v>286</v>
      </c>
      <c r="D113" s="54">
        <v>2.5</v>
      </c>
      <c r="E113" s="5" t="s">
        <v>218</v>
      </c>
      <c r="F113" s="5" t="s">
        <v>18</v>
      </c>
      <c r="G113" s="5" t="s">
        <v>106</v>
      </c>
      <c r="H113" s="9"/>
      <c r="I113" s="29" t="s">
        <v>20</v>
      </c>
      <c r="J113" s="27" t="s">
        <v>21</v>
      </c>
      <c r="K113" s="79">
        <f>VLOOKUP(C:C,Sheet2!B:H,7,0)</f>
        <v>50</v>
      </c>
      <c r="M113" s="45"/>
    </row>
    <row r="114" spans="1:13" x14ac:dyDescent="0.25">
      <c r="A114" s="4" t="s">
        <v>287</v>
      </c>
      <c r="B114" s="47" t="s">
        <v>288</v>
      </c>
      <c r="C114" s="5" t="s">
        <v>289</v>
      </c>
      <c r="D114" s="54">
        <v>3.8</v>
      </c>
      <c r="E114" s="5" t="s">
        <v>37</v>
      </c>
      <c r="F114" s="5" t="s">
        <v>290</v>
      </c>
      <c r="G114" s="5" t="s">
        <v>19</v>
      </c>
      <c r="H114" s="9">
        <v>22</v>
      </c>
      <c r="I114" s="29" t="s">
        <v>39</v>
      </c>
      <c r="J114" s="27" t="s">
        <v>39</v>
      </c>
      <c r="K114" s="79">
        <f>VLOOKUP(C:C,Sheet2!B:H,7,0)</f>
        <v>83.6</v>
      </c>
      <c r="M114" s="45"/>
    </row>
    <row r="115" spans="1:13" x14ac:dyDescent="0.25">
      <c r="A115" s="48" t="s">
        <v>291</v>
      </c>
      <c r="B115" s="50" t="s">
        <v>292</v>
      </c>
      <c r="C115" s="49" t="s">
        <v>293</v>
      </c>
      <c r="D115" s="54">
        <v>3.5</v>
      </c>
      <c r="E115" s="5" t="s">
        <v>294</v>
      </c>
      <c r="F115" s="5" t="s">
        <v>26</v>
      </c>
      <c r="G115" s="5" t="s">
        <v>19</v>
      </c>
      <c r="H115" s="9">
        <v>30</v>
      </c>
      <c r="I115" s="29" t="s">
        <v>48</v>
      </c>
      <c r="J115" s="27" t="s">
        <v>21</v>
      </c>
      <c r="K115" s="79">
        <f>VLOOKUP(C:C,Sheet2!B:H,7,0)</f>
        <v>105</v>
      </c>
      <c r="M115" s="45"/>
    </row>
    <row r="116" spans="1:13" ht="15.75" customHeight="1" x14ac:dyDescent="0.25">
      <c r="B116" s="12"/>
      <c r="D116" s="55"/>
      <c r="I116" s="30"/>
      <c r="K116" s="79" t="e">
        <f>VLOOKUP(C:C,Sheet2!B:H,7,0)</f>
        <v>#N/A</v>
      </c>
      <c r="M116" s="45"/>
    </row>
    <row r="117" spans="1:13" ht="15.75" customHeight="1" x14ac:dyDescent="0.25">
      <c r="A117" s="7" t="s">
        <v>295</v>
      </c>
      <c r="B117" s="7"/>
      <c r="C117" s="7"/>
      <c r="D117" s="56"/>
      <c r="E117" s="7"/>
      <c r="F117" s="7"/>
      <c r="G117" s="7"/>
      <c r="H117" s="7"/>
      <c r="I117" s="32"/>
      <c r="J117" s="32"/>
      <c r="K117" s="79" t="e">
        <f>VLOOKUP(C:C,Sheet2!B:H,7,0)</f>
        <v>#N/A</v>
      </c>
      <c r="M117" s="45"/>
    </row>
    <row r="118" spans="1:13" x14ac:dyDescent="0.25">
      <c r="A118" s="3" t="s">
        <v>4</v>
      </c>
      <c r="B118" s="3" t="s">
        <v>5</v>
      </c>
      <c r="C118" s="3" t="s">
        <v>6</v>
      </c>
      <c r="D118" s="15" t="s">
        <v>7</v>
      </c>
      <c r="E118" s="3" t="s">
        <v>8</v>
      </c>
      <c r="F118" s="3" t="s">
        <v>9</v>
      </c>
      <c r="G118" s="3" t="s">
        <v>10</v>
      </c>
      <c r="H118" s="8" t="s">
        <v>11</v>
      </c>
      <c r="I118" s="15" t="s">
        <v>12</v>
      </c>
      <c r="J118" s="31" t="s">
        <v>13</v>
      </c>
      <c r="K118" s="79" t="e">
        <f>VLOOKUP(C:C,Sheet2!B:H,7,0)</f>
        <v>#N/A</v>
      </c>
      <c r="M118" s="45"/>
    </row>
    <row r="119" spans="1:13" x14ac:dyDescent="0.25">
      <c r="A119" s="4" t="s">
        <v>296</v>
      </c>
      <c r="B119" s="4" t="s">
        <v>297</v>
      </c>
      <c r="C119" s="5" t="s">
        <v>298</v>
      </c>
      <c r="D119" s="54">
        <v>2.2000000000000002</v>
      </c>
      <c r="E119" s="5" t="s">
        <v>299</v>
      </c>
      <c r="F119" s="5" t="s">
        <v>18</v>
      </c>
      <c r="G119" s="5" t="s">
        <v>106</v>
      </c>
      <c r="H119" s="9">
        <v>10</v>
      </c>
      <c r="I119" s="29" t="s">
        <v>300</v>
      </c>
      <c r="J119" s="27" t="s">
        <v>39</v>
      </c>
      <c r="K119" s="79">
        <f>VLOOKUP(C:C,Sheet2!B:H,7,0)</f>
        <v>22</v>
      </c>
      <c r="M119" s="45"/>
    </row>
    <row r="120" spans="1:13" x14ac:dyDescent="0.25">
      <c r="A120" s="4" t="s">
        <v>301</v>
      </c>
      <c r="B120" s="4" t="s">
        <v>297</v>
      </c>
      <c r="C120" s="5" t="s">
        <v>302</v>
      </c>
      <c r="D120" s="54">
        <v>2.25</v>
      </c>
      <c r="E120" s="5" t="s">
        <v>299</v>
      </c>
      <c r="F120" s="5" t="s">
        <v>18</v>
      </c>
      <c r="G120" s="5" t="s">
        <v>106</v>
      </c>
      <c r="H120" s="9">
        <v>10</v>
      </c>
      <c r="I120" s="29" t="s">
        <v>300</v>
      </c>
      <c r="J120" s="27" t="s">
        <v>39</v>
      </c>
      <c r="K120" s="79">
        <f>VLOOKUP(C:C,Sheet2!B:H,7,0)</f>
        <v>22.5</v>
      </c>
      <c r="M120" s="45"/>
    </row>
    <row r="121" spans="1:13" x14ac:dyDescent="0.25">
      <c r="A121" s="4" t="s">
        <v>303</v>
      </c>
      <c r="B121" s="4" t="s">
        <v>297</v>
      </c>
      <c r="C121" s="5" t="s">
        <v>304</v>
      </c>
      <c r="D121" s="54">
        <v>2.25</v>
      </c>
      <c r="E121" s="5" t="s">
        <v>299</v>
      </c>
      <c r="F121" s="5" t="s">
        <v>18</v>
      </c>
      <c r="G121" s="5" t="s">
        <v>106</v>
      </c>
      <c r="H121" s="9">
        <v>10</v>
      </c>
      <c r="I121" s="29" t="s">
        <v>20</v>
      </c>
      <c r="J121" s="27" t="s">
        <v>39</v>
      </c>
      <c r="K121" s="79">
        <f>VLOOKUP(C:C,Sheet2!B:H,7,0)</f>
        <v>22.5</v>
      </c>
      <c r="M121" s="45"/>
    </row>
    <row r="122" spans="1:13" x14ac:dyDescent="0.25">
      <c r="A122" s="4" t="s">
        <v>305</v>
      </c>
      <c r="B122" s="4" t="s">
        <v>297</v>
      </c>
      <c r="C122" s="5" t="s">
        <v>306</v>
      </c>
      <c r="D122" s="54">
        <v>2.35</v>
      </c>
      <c r="E122" s="5" t="s">
        <v>299</v>
      </c>
      <c r="F122" s="5" t="s">
        <v>18</v>
      </c>
      <c r="G122" s="5" t="s">
        <v>106</v>
      </c>
      <c r="H122" s="9">
        <v>10</v>
      </c>
      <c r="I122" s="29" t="s">
        <v>20</v>
      </c>
      <c r="J122" s="27" t="s">
        <v>39</v>
      </c>
      <c r="K122" s="79">
        <f>VLOOKUP(C:C,Sheet2!B:H,7,0)</f>
        <v>23.5</v>
      </c>
      <c r="M122" s="45"/>
    </row>
    <row r="123" spans="1:13" x14ac:dyDescent="0.25">
      <c r="A123" s="4" t="s">
        <v>307</v>
      </c>
      <c r="B123" s="4" t="s">
        <v>297</v>
      </c>
      <c r="C123" s="5" t="s">
        <v>308</v>
      </c>
      <c r="D123" s="54">
        <v>2.4</v>
      </c>
      <c r="E123" s="5" t="s">
        <v>299</v>
      </c>
      <c r="F123" s="5" t="s">
        <v>18</v>
      </c>
      <c r="G123" s="5" t="s">
        <v>106</v>
      </c>
      <c r="H123" s="9">
        <v>10</v>
      </c>
      <c r="I123" s="29" t="s">
        <v>20</v>
      </c>
      <c r="J123" s="27" t="s">
        <v>39</v>
      </c>
      <c r="K123" s="79">
        <f>VLOOKUP(C:C,Sheet2!B:H,7,0)</f>
        <v>24</v>
      </c>
      <c r="M123" s="45"/>
    </row>
    <row r="124" spans="1:13" x14ac:dyDescent="0.25">
      <c r="A124" s="4" t="s">
        <v>309</v>
      </c>
      <c r="B124" s="4" t="s">
        <v>310</v>
      </c>
      <c r="C124" s="5" t="s">
        <v>311</v>
      </c>
      <c r="D124" s="54">
        <v>2.35</v>
      </c>
      <c r="E124" s="5" t="s">
        <v>177</v>
      </c>
      <c r="F124" s="5" t="s">
        <v>312</v>
      </c>
      <c r="G124" s="5" t="s">
        <v>106</v>
      </c>
      <c r="H124" s="9">
        <v>40</v>
      </c>
      <c r="I124" s="29" t="s">
        <v>91</v>
      </c>
      <c r="J124" s="27" t="s">
        <v>39</v>
      </c>
      <c r="K124" s="79">
        <f>VLOOKUP(C:C,Sheet2!B:H,7,0)</f>
        <v>94</v>
      </c>
      <c r="M124" s="45"/>
    </row>
    <row r="125" spans="1:13" x14ac:dyDescent="0.25">
      <c r="A125" s="4" t="s">
        <v>313</v>
      </c>
      <c r="B125" s="4" t="s">
        <v>310</v>
      </c>
      <c r="C125" s="5" t="s">
        <v>314</v>
      </c>
      <c r="D125" s="54">
        <v>2.7</v>
      </c>
      <c r="E125" s="5" t="s">
        <v>177</v>
      </c>
      <c r="F125" s="5" t="s">
        <v>312</v>
      </c>
      <c r="G125" s="5" t="s">
        <v>106</v>
      </c>
      <c r="H125" s="9">
        <v>40</v>
      </c>
      <c r="I125" s="29" t="s">
        <v>91</v>
      </c>
      <c r="J125" s="27" t="s">
        <v>39</v>
      </c>
      <c r="K125" s="79">
        <f>VLOOKUP(C:C,Sheet2!B:H,7,0)</f>
        <v>108</v>
      </c>
      <c r="M125" s="45"/>
    </row>
    <row r="126" spans="1:13" x14ac:dyDescent="0.25">
      <c r="A126" s="4" t="s">
        <v>315</v>
      </c>
      <c r="B126" s="4" t="s">
        <v>297</v>
      </c>
      <c r="C126" s="5" t="s">
        <v>316</v>
      </c>
      <c r="D126" s="54">
        <v>2.5</v>
      </c>
      <c r="E126" s="5" t="s">
        <v>218</v>
      </c>
      <c r="F126" s="5" t="s">
        <v>18</v>
      </c>
      <c r="G126" s="5" t="s">
        <v>106</v>
      </c>
      <c r="H126" s="9">
        <v>20</v>
      </c>
      <c r="I126" s="29" t="s">
        <v>101</v>
      </c>
      <c r="J126" s="27" t="s">
        <v>21</v>
      </c>
      <c r="K126" s="79">
        <f>VLOOKUP(C:C,Sheet2!B:H,7,0)</f>
        <v>50</v>
      </c>
      <c r="M126" s="45"/>
    </row>
    <row r="127" spans="1:13" x14ac:dyDescent="0.25">
      <c r="A127" s="4" t="s">
        <v>317</v>
      </c>
      <c r="B127" s="4" t="s">
        <v>318</v>
      </c>
      <c r="C127" s="5" t="s">
        <v>319</v>
      </c>
      <c r="D127" s="54">
        <v>1.2</v>
      </c>
      <c r="E127" s="5" t="s">
        <v>320</v>
      </c>
      <c r="F127" s="5" t="s">
        <v>26</v>
      </c>
      <c r="G127" s="5" t="s">
        <v>106</v>
      </c>
      <c r="H127" s="9">
        <v>40</v>
      </c>
      <c r="I127" s="29" t="s">
        <v>91</v>
      </c>
      <c r="J127" s="29" t="s">
        <v>39</v>
      </c>
      <c r="K127" s="79">
        <f>VLOOKUP(C:C,Sheet2!B:H,7,0)</f>
        <v>48</v>
      </c>
      <c r="M127" s="45"/>
    </row>
    <row r="128" spans="1:13" x14ac:dyDescent="0.25">
      <c r="A128" s="4" t="s">
        <v>317</v>
      </c>
      <c r="B128" s="4" t="s">
        <v>318</v>
      </c>
      <c r="C128" s="5" t="s">
        <v>321</v>
      </c>
      <c r="D128" s="54">
        <v>1.2</v>
      </c>
      <c r="E128" s="5" t="s">
        <v>320</v>
      </c>
      <c r="F128" s="5" t="s">
        <v>322</v>
      </c>
      <c r="G128" s="5" t="s">
        <v>106</v>
      </c>
      <c r="H128" s="9">
        <v>40</v>
      </c>
      <c r="I128" s="29" t="s">
        <v>91</v>
      </c>
      <c r="J128" s="29" t="s">
        <v>39</v>
      </c>
      <c r="K128" s="79">
        <f>VLOOKUP(C:C,Sheet2!B:H,7,0)</f>
        <v>48</v>
      </c>
      <c r="M128" s="45"/>
    </row>
    <row r="129" spans="1:13" x14ac:dyDescent="0.25">
      <c r="A129" s="4" t="s">
        <v>323</v>
      </c>
      <c r="B129" s="4" t="s">
        <v>318</v>
      </c>
      <c r="C129" s="5" t="s">
        <v>324</v>
      </c>
      <c r="D129" s="54">
        <v>1.2</v>
      </c>
      <c r="E129" s="5" t="s">
        <v>320</v>
      </c>
      <c r="F129" s="5" t="s">
        <v>26</v>
      </c>
      <c r="G129" s="5" t="s">
        <v>106</v>
      </c>
      <c r="H129" s="9">
        <v>40</v>
      </c>
      <c r="I129" s="29" t="s">
        <v>91</v>
      </c>
      <c r="J129" s="29" t="s">
        <v>39</v>
      </c>
      <c r="K129" s="79">
        <f>VLOOKUP(C:C,Sheet2!B:H,7,0)</f>
        <v>48</v>
      </c>
      <c r="M129" s="45"/>
    </row>
    <row r="130" spans="1:13" x14ac:dyDescent="0.25">
      <c r="A130" s="4" t="s">
        <v>323</v>
      </c>
      <c r="B130" s="4" t="s">
        <v>318</v>
      </c>
      <c r="C130" s="5" t="s">
        <v>325</v>
      </c>
      <c r="D130" s="54">
        <v>1.2</v>
      </c>
      <c r="E130" s="5" t="s">
        <v>320</v>
      </c>
      <c r="F130" s="5" t="s">
        <v>322</v>
      </c>
      <c r="G130" s="5" t="s">
        <v>106</v>
      </c>
      <c r="H130" s="9">
        <v>40</v>
      </c>
      <c r="I130" s="29" t="s">
        <v>91</v>
      </c>
      <c r="J130" s="29" t="s">
        <v>39</v>
      </c>
      <c r="K130" s="79">
        <f>VLOOKUP(C:C,Sheet2!B:H,7,0)</f>
        <v>48</v>
      </c>
      <c r="M130" s="45"/>
    </row>
    <row r="131" spans="1:13" x14ac:dyDescent="0.25">
      <c r="A131" s="4" t="s">
        <v>326</v>
      </c>
      <c r="B131" s="4" t="s">
        <v>327</v>
      </c>
      <c r="C131" s="5" t="s">
        <v>328</v>
      </c>
      <c r="D131" s="54">
        <v>1.47</v>
      </c>
      <c r="E131" s="5" t="s">
        <v>177</v>
      </c>
      <c r="F131" s="5" t="s">
        <v>18</v>
      </c>
      <c r="G131" s="5" t="s">
        <v>106</v>
      </c>
      <c r="H131" s="9">
        <v>40</v>
      </c>
      <c r="I131" s="29" t="s">
        <v>91</v>
      </c>
      <c r="J131" s="29" t="s">
        <v>39</v>
      </c>
      <c r="K131" s="79" t="e">
        <f>VLOOKUP(C:C,Sheet2!B:H,7,0)</f>
        <v>#N/A</v>
      </c>
      <c r="M131" s="45"/>
    </row>
    <row r="132" spans="1:13" x14ac:dyDescent="0.25">
      <c r="A132" s="4" t="s">
        <v>329</v>
      </c>
      <c r="B132" s="4" t="s">
        <v>327</v>
      </c>
      <c r="C132" s="5" t="s">
        <v>330</v>
      </c>
      <c r="D132" s="54">
        <v>1.47</v>
      </c>
      <c r="E132" s="5" t="s">
        <v>177</v>
      </c>
      <c r="F132" s="5" t="s">
        <v>18</v>
      </c>
      <c r="G132" s="5" t="s">
        <v>106</v>
      </c>
      <c r="H132" s="9">
        <v>40</v>
      </c>
      <c r="I132" s="29" t="s">
        <v>91</v>
      </c>
      <c r="J132" s="29" t="s">
        <v>39</v>
      </c>
      <c r="K132" s="79" t="e">
        <f>VLOOKUP(C:C,Sheet2!B:H,7,0)</f>
        <v>#N/A</v>
      </c>
      <c r="M132" s="45"/>
    </row>
    <row r="133" spans="1:13" x14ac:dyDescent="0.25">
      <c r="A133" s="4" t="s">
        <v>331</v>
      </c>
      <c r="B133" s="4" t="s">
        <v>327</v>
      </c>
      <c r="C133" s="5" t="s">
        <v>332</v>
      </c>
      <c r="D133" s="54">
        <v>1.75</v>
      </c>
      <c r="E133" s="5" t="s">
        <v>333</v>
      </c>
      <c r="F133" s="5" t="s">
        <v>18</v>
      </c>
      <c r="G133" s="5" t="s">
        <v>106</v>
      </c>
      <c r="H133" s="9">
        <v>30</v>
      </c>
      <c r="I133" s="29" t="s">
        <v>101</v>
      </c>
      <c r="J133" s="27" t="s">
        <v>21</v>
      </c>
      <c r="K133" s="79">
        <f>VLOOKUP(C:C,Sheet2!B:H,7,0)</f>
        <v>52.5</v>
      </c>
      <c r="M133" s="45"/>
    </row>
    <row r="134" spans="1:13" x14ac:dyDescent="0.25">
      <c r="A134" s="4" t="s">
        <v>334</v>
      </c>
      <c r="B134" s="4" t="s">
        <v>327</v>
      </c>
      <c r="C134" s="5" t="s">
        <v>335</v>
      </c>
      <c r="D134" s="54">
        <v>1.35</v>
      </c>
      <c r="E134" s="5" t="s">
        <v>177</v>
      </c>
      <c r="F134" s="5" t="s">
        <v>18</v>
      </c>
      <c r="G134" s="5" t="s">
        <v>106</v>
      </c>
      <c r="H134" s="9">
        <v>40</v>
      </c>
      <c r="I134" s="29" t="s">
        <v>91</v>
      </c>
      <c r="J134" s="29" t="s">
        <v>39</v>
      </c>
      <c r="K134" s="79">
        <f>VLOOKUP(C:C,Sheet2!B:H,7,0)</f>
        <v>54</v>
      </c>
      <c r="M134" s="45"/>
    </row>
    <row r="135" spans="1:13" x14ac:dyDescent="0.25">
      <c r="A135" s="4" t="s">
        <v>336</v>
      </c>
      <c r="B135" s="4" t="s">
        <v>327</v>
      </c>
      <c r="C135" s="5" t="s">
        <v>337</v>
      </c>
      <c r="D135" s="54">
        <v>1.35</v>
      </c>
      <c r="E135" s="5" t="s">
        <v>177</v>
      </c>
      <c r="F135" s="5" t="s">
        <v>18</v>
      </c>
      <c r="G135" s="5" t="s">
        <v>106</v>
      </c>
      <c r="H135" s="9">
        <v>40</v>
      </c>
      <c r="I135" s="29" t="s">
        <v>91</v>
      </c>
      <c r="J135" s="29" t="s">
        <v>39</v>
      </c>
      <c r="K135" s="79">
        <f>VLOOKUP(C:C,Sheet2!B:H,7,0)</f>
        <v>54</v>
      </c>
      <c r="M135" s="45"/>
    </row>
    <row r="136" spans="1:13" x14ac:dyDescent="0.25">
      <c r="A136" s="4" t="s">
        <v>338</v>
      </c>
      <c r="B136" s="4" t="s">
        <v>327</v>
      </c>
      <c r="C136" s="5" t="s">
        <v>339</v>
      </c>
      <c r="D136" s="54">
        <v>1.47</v>
      </c>
      <c r="E136" s="5" t="s">
        <v>177</v>
      </c>
      <c r="F136" s="5" t="s">
        <v>18</v>
      </c>
      <c r="G136" s="5" t="s">
        <v>106</v>
      </c>
      <c r="H136" s="9">
        <v>40</v>
      </c>
      <c r="I136" s="29" t="s">
        <v>91</v>
      </c>
      <c r="J136" s="29" t="s">
        <v>39</v>
      </c>
      <c r="K136" s="79">
        <f>VLOOKUP(C:C,Sheet2!B:H,7,0)</f>
        <v>58.8</v>
      </c>
      <c r="M136" s="45"/>
    </row>
    <row r="137" spans="1:13" x14ac:dyDescent="0.25">
      <c r="A137" s="4" t="s">
        <v>340</v>
      </c>
      <c r="B137" s="4" t="s">
        <v>341</v>
      </c>
      <c r="C137" s="5" t="s">
        <v>342</v>
      </c>
      <c r="D137" s="54">
        <v>1.5</v>
      </c>
      <c r="E137" s="5" t="s">
        <v>177</v>
      </c>
      <c r="F137" s="5" t="s">
        <v>312</v>
      </c>
      <c r="G137" s="5" t="s">
        <v>106</v>
      </c>
      <c r="H137" s="9">
        <v>40</v>
      </c>
      <c r="I137" s="29" t="s">
        <v>91</v>
      </c>
      <c r="J137" s="29" t="s">
        <v>39</v>
      </c>
      <c r="K137" s="79">
        <f>VLOOKUP(C:C,Sheet2!B:H,7,0)</f>
        <v>60</v>
      </c>
      <c r="M137" s="45"/>
    </row>
    <row r="138" spans="1:13" x14ac:dyDescent="0.25">
      <c r="A138" s="4" t="s">
        <v>343</v>
      </c>
      <c r="B138" s="4" t="s">
        <v>341</v>
      </c>
      <c r="C138" s="5" t="s">
        <v>344</v>
      </c>
      <c r="D138" s="54">
        <v>1.6</v>
      </c>
      <c r="E138" s="5" t="s">
        <v>177</v>
      </c>
      <c r="F138" s="5" t="s">
        <v>312</v>
      </c>
      <c r="G138" s="5" t="s">
        <v>106</v>
      </c>
      <c r="H138" s="9">
        <v>40</v>
      </c>
      <c r="I138" s="29" t="s">
        <v>91</v>
      </c>
      <c r="J138" s="29" t="s">
        <v>39</v>
      </c>
      <c r="K138" s="79">
        <f>VLOOKUP(C:C,Sheet2!B:H,7,0)</f>
        <v>64</v>
      </c>
      <c r="M138" s="45"/>
    </row>
    <row r="139" spans="1:13" x14ac:dyDescent="0.25">
      <c r="A139" s="4" t="s">
        <v>345</v>
      </c>
      <c r="B139" s="47" t="s">
        <v>341</v>
      </c>
      <c r="C139" s="5" t="s">
        <v>346</v>
      </c>
      <c r="D139" s="54">
        <v>1.5</v>
      </c>
      <c r="E139" s="5" t="s">
        <v>177</v>
      </c>
      <c r="F139" s="5" t="s">
        <v>312</v>
      </c>
      <c r="G139" s="5" t="s">
        <v>106</v>
      </c>
      <c r="H139" s="9">
        <v>40</v>
      </c>
      <c r="I139" s="29" t="s">
        <v>91</v>
      </c>
      <c r="J139" s="29" t="s">
        <v>39</v>
      </c>
      <c r="K139" s="79">
        <f>VLOOKUP(C:C,Sheet2!B:H,7,0)</f>
        <v>60</v>
      </c>
      <c r="M139" s="45"/>
    </row>
    <row r="140" spans="1:13" x14ac:dyDescent="0.25">
      <c r="A140" s="48" t="s">
        <v>347</v>
      </c>
      <c r="B140" s="50" t="s">
        <v>341</v>
      </c>
      <c r="C140" s="49" t="s">
        <v>348</v>
      </c>
      <c r="D140" s="54">
        <v>1.55</v>
      </c>
      <c r="E140" s="5" t="s">
        <v>177</v>
      </c>
      <c r="F140" s="5" t="s">
        <v>312</v>
      </c>
      <c r="G140" s="5" t="s">
        <v>106</v>
      </c>
      <c r="H140" s="9">
        <v>40</v>
      </c>
      <c r="I140" s="29" t="s">
        <v>91</v>
      </c>
      <c r="J140" s="29" t="s">
        <v>39</v>
      </c>
      <c r="K140" s="79">
        <f>VLOOKUP(C:C,Sheet2!B:H,7,0)</f>
        <v>62</v>
      </c>
      <c r="M140" s="45"/>
    </row>
    <row r="141" spans="1:13" ht="15.75" customHeight="1" x14ac:dyDescent="0.25">
      <c r="B141" s="12"/>
      <c r="D141" s="55"/>
      <c r="I141" s="30"/>
      <c r="K141" s="79" t="e">
        <f>VLOOKUP(C:C,Sheet2!B:H,7,0)</f>
        <v>#N/A</v>
      </c>
      <c r="M141" s="45"/>
    </row>
    <row r="142" spans="1:13" ht="15.75" customHeight="1" x14ac:dyDescent="0.25">
      <c r="A142" s="7" t="s">
        <v>349</v>
      </c>
      <c r="B142" s="7"/>
      <c r="C142" s="7"/>
      <c r="D142" s="56"/>
      <c r="E142" s="7"/>
      <c r="F142" s="7"/>
      <c r="G142" s="7"/>
      <c r="H142" s="7"/>
      <c r="I142" s="32"/>
      <c r="J142" s="32"/>
      <c r="K142" s="79" t="e">
        <f>VLOOKUP(C:C,Sheet2!B:H,7,0)</f>
        <v>#N/A</v>
      </c>
      <c r="M142" s="45"/>
    </row>
    <row r="143" spans="1:13" x14ac:dyDescent="0.25">
      <c r="A143" s="3" t="s">
        <v>4</v>
      </c>
      <c r="B143" s="3" t="s">
        <v>5</v>
      </c>
      <c r="C143" s="3" t="s">
        <v>6</v>
      </c>
      <c r="D143" s="15" t="s">
        <v>7</v>
      </c>
      <c r="E143" s="3" t="s">
        <v>8</v>
      </c>
      <c r="F143" s="3" t="s">
        <v>9</v>
      </c>
      <c r="G143" s="3" t="s">
        <v>10</v>
      </c>
      <c r="H143" s="8" t="s">
        <v>11</v>
      </c>
      <c r="I143" s="15" t="s">
        <v>12</v>
      </c>
      <c r="J143" s="31" t="s">
        <v>13</v>
      </c>
      <c r="K143" s="79" t="e">
        <f>VLOOKUP(C:C,Sheet2!B:H,7,0)</f>
        <v>#N/A</v>
      </c>
      <c r="M143" s="45"/>
    </row>
    <row r="144" spans="1:13" x14ac:dyDescent="0.25">
      <c r="A144" s="4" t="s">
        <v>350</v>
      </c>
      <c r="B144" s="4" t="s">
        <v>351</v>
      </c>
      <c r="C144" s="5" t="s">
        <v>352</v>
      </c>
      <c r="D144" s="54">
        <v>3.65</v>
      </c>
      <c r="E144" s="5" t="s">
        <v>353</v>
      </c>
      <c r="F144" s="5" t="s">
        <v>18</v>
      </c>
      <c r="G144" s="5" t="s">
        <v>106</v>
      </c>
      <c r="H144" s="9">
        <v>15</v>
      </c>
      <c r="I144" s="29" t="s">
        <v>300</v>
      </c>
      <c r="J144" s="29" t="s">
        <v>39</v>
      </c>
      <c r="K144" s="79">
        <f>VLOOKUP(C:C,Sheet2!B:H,7,0)</f>
        <v>54.75</v>
      </c>
      <c r="M144" s="45"/>
    </row>
    <row r="145" spans="1:13" x14ac:dyDescent="0.25">
      <c r="A145" s="4" t="s">
        <v>354</v>
      </c>
      <c r="B145" s="4" t="s">
        <v>351</v>
      </c>
      <c r="C145" s="5" t="s">
        <v>355</v>
      </c>
      <c r="D145" s="54">
        <v>3.85</v>
      </c>
      <c r="E145" s="5" t="s">
        <v>353</v>
      </c>
      <c r="F145" s="5" t="s">
        <v>18</v>
      </c>
      <c r="G145" s="5" t="s">
        <v>106</v>
      </c>
      <c r="H145" s="9">
        <v>15</v>
      </c>
      <c r="I145" s="29" t="s">
        <v>300</v>
      </c>
      <c r="J145" s="29" t="s">
        <v>39</v>
      </c>
      <c r="K145" s="79">
        <f>VLOOKUP(C:C,Sheet2!B:H,7,0)</f>
        <v>57.75</v>
      </c>
      <c r="M145" s="45"/>
    </row>
    <row r="146" spans="1:13" x14ac:dyDescent="0.25">
      <c r="A146" s="4" t="s">
        <v>356</v>
      </c>
      <c r="B146" s="4" t="s">
        <v>357</v>
      </c>
      <c r="C146" s="5" t="s">
        <v>358</v>
      </c>
      <c r="D146" s="54">
        <v>1</v>
      </c>
      <c r="E146" s="5" t="s">
        <v>359</v>
      </c>
      <c r="F146" s="5" t="s">
        <v>26</v>
      </c>
      <c r="G146" s="5" t="s">
        <v>106</v>
      </c>
      <c r="H146" s="9">
        <v>22</v>
      </c>
      <c r="I146" s="29" t="s">
        <v>360</v>
      </c>
      <c r="J146" s="29" t="s">
        <v>39</v>
      </c>
      <c r="K146" s="79">
        <f>VLOOKUP(C:C,Sheet2!B:H,7,0)</f>
        <v>41.8</v>
      </c>
      <c r="M146" s="45"/>
    </row>
    <row r="147" spans="1:13" x14ac:dyDescent="0.25">
      <c r="A147" s="4" t="s">
        <v>361</v>
      </c>
      <c r="B147" s="4" t="s">
        <v>357</v>
      </c>
      <c r="C147" s="5" t="s">
        <v>362</v>
      </c>
      <c r="D147" s="54">
        <v>1.9</v>
      </c>
      <c r="E147" s="5" t="s">
        <v>359</v>
      </c>
      <c r="F147" s="5" t="s">
        <v>26</v>
      </c>
      <c r="G147" s="5" t="s">
        <v>106</v>
      </c>
      <c r="H147" s="9">
        <v>22</v>
      </c>
      <c r="I147" s="29" t="s">
        <v>360</v>
      </c>
      <c r="J147" s="29" t="s">
        <v>39</v>
      </c>
      <c r="K147" s="79">
        <f>VLOOKUP(C:C,Sheet2!B:H,7,0)</f>
        <v>41.8</v>
      </c>
      <c r="M147" s="45"/>
    </row>
    <row r="148" spans="1:13" x14ac:dyDescent="0.25">
      <c r="A148" s="4" t="s">
        <v>363</v>
      </c>
      <c r="B148" s="4" t="s">
        <v>357</v>
      </c>
      <c r="C148" s="5" t="s">
        <v>364</v>
      </c>
      <c r="D148" s="54">
        <v>1.9</v>
      </c>
      <c r="E148" s="5" t="s">
        <v>353</v>
      </c>
      <c r="F148" s="5" t="s">
        <v>26</v>
      </c>
      <c r="G148" s="5" t="s">
        <v>106</v>
      </c>
      <c r="H148" s="9">
        <v>15</v>
      </c>
      <c r="I148" s="29" t="s">
        <v>300</v>
      </c>
      <c r="J148" s="29" t="s">
        <v>39</v>
      </c>
      <c r="K148" s="79">
        <f>VLOOKUP(C:C,Sheet2!B:H,7,0)</f>
        <v>28.5</v>
      </c>
      <c r="M148" s="45"/>
    </row>
    <row r="149" spans="1:13" x14ac:dyDescent="0.25">
      <c r="A149" s="4" t="s">
        <v>365</v>
      </c>
      <c r="B149" s="4" t="s">
        <v>357</v>
      </c>
      <c r="C149" s="5" t="s">
        <v>366</v>
      </c>
      <c r="D149" s="54">
        <v>1.9</v>
      </c>
      <c r="E149" s="5" t="s">
        <v>353</v>
      </c>
      <c r="F149" s="5" t="s">
        <v>26</v>
      </c>
      <c r="G149" s="5" t="s">
        <v>106</v>
      </c>
      <c r="H149" s="9">
        <v>15</v>
      </c>
      <c r="I149" s="29" t="s">
        <v>300</v>
      </c>
      <c r="J149" s="29" t="s">
        <v>39</v>
      </c>
      <c r="K149" s="79">
        <f>VLOOKUP(C:C,Sheet2!B:H,7,0)</f>
        <v>28.5</v>
      </c>
      <c r="M149" s="45"/>
    </row>
    <row r="150" spans="1:13" x14ac:dyDescent="0.25">
      <c r="A150" s="4" t="s">
        <v>367</v>
      </c>
      <c r="B150" s="4" t="s">
        <v>357</v>
      </c>
      <c r="C150" s="5" t="s">
        <v>368</v>
      </c>
      <c r="D150" s="54">
        <v>1.9</v>
      </c>
      <c r="E150" s="5" t="s">
        <v>353</v>
      </c>
      <c r="F150" s="5" t="s">
        <v>26</v>
      </c>
      <c r="G150" s="5" t="s">
        <v>106</v>
      </c>
      <c r="H150" s="9">
        <v>15</v>
      </c>
      <c r="I150" s="29" t="s">
        <v>300</v>
      </c>
      <c r="J150" s="29" t="s">
        <v>39</v>
      </c>
      <c r="K150" s="79">
        <f>VLOOKUP(C:C,Sheet2!B:H,7,0)</f>
        <v>28.5</v>
      </c>
      <c r="M150" s="45"/>
    </row>
    <row r="151" spans="1:13" x14ac:dyDescent="0.25">
      <c r="A151" s="4" t="s">
        <v>369</v>
      </c>
      <c r="B151" s="4" t="s">
        <v>370</v>
      </c>
      <c r="C151" s="5" t="s">
        <v>371</v>
      </c>
      <c r="D151" s="54">
        <v>2.6</v>
      </c>
      <c r="E151" s="5" t="s">
        <v>372</v>
      </c>
      <c r="F151" s="5" t="s">
        <v>26</v>
      </c>
      <c r="G151" s="5" t="s">
        <v>106</v>
      </c>
      <c r="H151" s="9">
        <v>30</v>
      </c>
      <c r="I151" s="29" t="s">
        <v>101</v>
      </c>
      <c r="J151" s="27" t="s">
        <v>21</v>
      </c>
      <c r="K151" s="79">
        <f>VLOOKUP(C:C,Sheet2!B:H,7,0)</f>
        <v>78</v>
      </c>
      <c r="M151" s="45"/>
    </row>
    <row r="152" spans="1:13" x14ac:dyDescent="0.25">
      <c r="A152" s="4" t="s">
        <v>373</v>
      </c>
      <c r="B152" s="47" t="s">
        <v>374</v>
      </c>
      <c r="C152" s="5" t="s">
        <v>375</v>
      </c>
      <c r="D152" s="54">
        <v>2.5</v>
      </c>
      <c r="E152" s="5" t="s">
        <v>376</v>
      </c>
      <c r="F152" s="5" t="s">
        <v>26</v>
      </c>
      <c r="G152" s="5" t="s">
        <v>106</v>
      </c>
      <c r="H152" s="9">
        <v>33</v>
      </c>
      <c r="I152" s="29" t="s">
        <v>91</v>
      </c>
      <c r="J152" s="29" t="s">
        <v>39</v>
      </c>
      <c r="K152" s="79">
        <f>VLOOKUP(C:C,Sheet2!B:H,7,0)</f>
        <v>82.5</v>
      </c>
      <c r="M152" s="45"/>
    </row>
    <row r="153" spans="1:13" x14ac:dyDescent="0.25">
      <c r="A153" s="48" t="s">
        <v>377</v>
      </c>
      <c r="B153" s="50" t="s">
        <v>378</v>
      </c>
      <c r="C153" s="49" t="s">
        <v>379</v>
      </c>
      <c r="D153" s="54">
        <v>2.6</v>
      </c>
      <c r="E153" s="5" t="s">
        <v>372</v>
      </c>
      <c r="F153" s="5" t="s">
        <v>26</v>
      </c>
      <c r="G153" s="5" t="s">
        <v>106</v>
      </c>
      <c r="H153" s="9">
        <v>30</v>
      </c>
      <c r="I153" s="29" t="s">
        <v>101</v>
      </c>
      <c r="J153" s="27" t="s">
        <v>21</v>
      </c>
      <c r="K153" s="79">
        <f>VLOOKUP(C:C,Sheet2!B:H,7,0)</f>
        <v>78</v>
      </c>
      <c r="M153" s="45"/>
    </row>
    <row r="154" spans="1:13" ht="15.75" customHeight="1" x14ac:dyDescent="0.25">
      <c r="B154" s="12"/>
      <c r="D154" s="55"/>
      <c r="I154" s="30"/>
      <c r="K154" s="79" t="e">
        <f>VLOOKUP(C:C,Sheet2!B:H,7,0)</f>
        <v>#N/A</v>
      </c>
      <c r="M154" s="45"/>
    </row>
    <row r="155" spans="1:13" ht="15.75" customHeight="1" x14ac:dyDescent="0.25">
      <c r="A155" s="7" t="s">
        <v>380</v>
      </c>
      <c r="B155" s="7"/>
      <c r="C155" s="7"/>
      <c r="D155" s="56"/>
      <c r="E155" s="7"/>
      <c r="F155" s="7"/>
      <c r="G155" s="7"/>
      <c r="H155" s="7"/>
      <c r="I155" s="32"/>
      <c r="J155" s="32"/>
      <c r="K155" s="79" t="e">
        <f>VLOOKUP(C:C,Sheet2!B:H,7,0)</f>
        <v>#N/A</v>
      </c>
      <c r="M155" s="45"/>
    </row>
    <row r="156" spans="1:13" x14ac:dyDescent="0.25">
      <c r="A156" s="3" t="s">
        <v>4</v>
      </c>
      <c r="B156" s="3" t="s">
        <v>5</v>
      </c>
      <c r="C156" s="3" t="s">
        <v>6</v>
      </c>
      <c r="D156" s="15" t="s">
        <v>7</v>
      </c>
      <c r="E156" s="3" t="s">
        <v>8</v>
      </c>
      <c r="F156" s="3" t="s">
        <v>9</v>
      </c>
      <c r="G156" s="3" t="s">
        <v>10</v>
      </c>
      <c r="H156" s="8" t="s">
        <v>11</v>
      </c>
      <c r="I156" s="15" t="s">
        <v>12</v>
      </c>
      <c r="J156" s="31" t="s">
        <v>13</v>
      </c>
      <c r="K156" s="79" t="e">
        <f>VLOOKUP(C:C,Sheet2!B:H,7,0)</f>
        <v>#N/A</v>
      </c>
      <c r="M156" s="45"/>
    </row>
    <row r="157" spans="1:13" x14ac:dyDescent="0.25">
      <c r="A157" s="4" t="s">
        <v>381</v>
      </c>
      <c r="B157" s="4" t="s">
        <v>382</v>
      </c>
      <c r="C157" s="5" t="s">
        <v>383</v>
      </c>
      <c r="D157" s="54">
        <v>3.9</v>
      </c>
      <c r="E157" s="5" t="s">
        <v>299</v>
      </c>
      <c r="F157" s="5" t="s">
        <v>38</v>
      </c>
      <c r="G157" s="5" t="s">
        <v>19</v>
      </c>
      <c r="H157" s="9">
        <v>10</v>
      </c>
      <c r="I157" s="29" t="s">
        <v>20</v>
      </c>
      <c r="J157" s="27" t="s">
        <v>39</v>
      </c>
      <c r="K157" s="79">
        <f>VLOOKUP(C:C,Sheet2!B:H,7,0)</f>
        <v>39</v>
      </c>
      <c r="M157" s="45"/>
    </row>
    <row r="158" spans="1:13" x14ac:dyDescent="0.25">
      <c r="A158" s="4" t="s">
        <v>384</v>
      </c>
      <c r="B158" s="4" t="s">
        <v>382</v>
      </c>
      <c r="C158" s="5" t="s">
        <v>385</v>
      </c>
      <c r="D158" s="54">
        <v>3.9</v>
      </c>
      <c r="E158" s="5" t="s">
        <v>299</v>
      </c>
      <c r="F158" s="5" t="s">
        <v>38</v>
      </c>
      <c r="G158" s="5" t="s">
        <v>19</v>
      </c>
      <c r="H158" s="9">
        <v>10</v>
      </c>
      <c r="I158" s="29" t="s">
        <v>20</v>
      </c>
      <c r="J158" s="27" t="s">
        <v>39</v>
      </c>
      <c r="K158" s="79">
        <f>VLOOKUP(C:C,Sheet2!B:H,7,0)</f>
        <v>39</v>
      </c>
      <c r="M158" s="45"/>
    </row>
    <row r="159" spans="1:13" x14ac:dyDescent="0.25">
      <c r="A159" s="4" t="s">
        <v>386</v>
      </c>
      <c r="B159" s="4" t="s">
        <v>387</v>
      </c>
      <c r="C159" s="5" t="s">
        <v>388</v>
      </c>
      <c r="D159" s="54" t="s">
        <v>150</v>
      </c>
      <c r="E159" s="5" t="s">
        <v>299</v>
      </c>
      <c r="F159" s="5" t="s">
        <v>18</v>
      </c>
      <c r="G159" s="5" t="s">
        <v>19</v>
      </c>
      <c r="H159" s="9">
        <v>10</v>
      </c>
      <c r="I159" s="29" t="s">
        <v>20</v>
      </c>
      <c r="J159" s="27" t="s">
        <v>39</v>
      </c>
      <c r="K159" s="79">
        <f>VLOOKUP(C:C,Sheet2!B:H,7,0)</f>
        <v>49</v>
      </c>
      <c r="M159" s="45"/>
    </row>
    <row r="160" spans="1:13" x14ac:dyDescent="0.25">
      <c r="A160" s="4" t="s">
        <v>389</v>
      </c>
      <c r="B160" s="47" t="s">
        <v>387</v>
      </c>
      <c r="C160" s="5" t="s">
        <v>390</v>
      </c>
      <c r="D160" s="54">
        <v>4.9000000000000004</v>
      </c>
      <c r="E160" s="5" t="s">
        <v>299</v>
      </c>
      <c r="F160" s="5" t="s">
        <v>18</v>
      </c>
      <c r="G160" s="5" t="s">
        <v>19</v>
      </c>
      <c r="H160" s="9">
        <v>10</v>
      </c>
      <c r="I160" s="29" t="s">
        <v>20</v>
      </c>
      <c r="J160" s="27" t="s">
        <v>39</v>
      </c>
      <c r="K160" s="79">
        <f>VLOOKUP(C:C,Sheet2!B:H,7,0)</f>
        <v>49</v>
      </c>
      <c r="M160" s="45"/>
    </row>
    <row r="161" spans="1:13" x14ac:dyDescent="0.25">
      <c r="A161" s="48" t="s">
        <v>391</v>
      </c>
      <c r="B161" s="50" t="s">
        <v>387</v>
      </c>
      <c r="C161" s="49" t="s">
        <v>392</v>
      </c>
      <c r="D161" s="54" t="s">
        <v>150</v>
      </c>
      <c r="E161" s="5" t="s">
        <v>299</v>
      </c>
      <c r="F161" s="5" t="s">
        <v>18</v>
      </c>
      <c r="G161" s="5" t="s">
        <v>19</v>
      </c>
      <c r="H161" s="9">
        <v>10</v>
      </c>
      <c r="I161" s="29" t="s">
        <v>20</v>
      </c>
      <c r="J161" s="27" t="s">
        <v>39</v>
      </c>
      <c r="K161" s="79" t="e">
        <f>VLOOKUP(C:C,Sheet2!B:H,7,0)</f>
        <v>#N/A</v>
      </c>
      <c r="M161" s="45"/>
    </row>
    <row r="162" spans="1:13" ht="15.75" customHeight="1" x14ac:dyDescent="0.25">
      <c r="B162" s="12"/>
      <c r="D162" s="55"/>
      <c r="I162" s="30"/>
      <c r="K162" s="79" t="e">
        <f>VLOOKUP(C:C,Sheet2!B:H,7,0)</f>
        <v>#N/A</v>
      </c>
      <c r="M162" s="45"/>
    </row>
    <row r="163" spans="1:13" ht="15.75" customHeight="1" x14ac:dyDescent="0.25">
      <c r="A163" s="7" t="s">
        <v>393</v>
      </c>
      <c r="B163" s="7"/>
      <c r="C163" s="7"/>
      <c r="D163" s="46"/>
      <c r="E163" s="7"/>
      <c r="F163" s="7"/>
      <c r="G163" s="7"/>
      <c r="H163" s="7"/>
      <c r="I163" s="32"/>
      <c r="J163" s="32"/>
      <c r="K163" s="79" t="e">
        <f>VLOOKUP(C:C,Sheet2!B:H,7,0)</f>
        <v>#N/A</v>
      </c>
      <c r="M163" s="45"/>
    </row>
    <row r="164" spans="1:13" ht="15.75" customHeight="1" x14ac:dyDescent="0.25">
      <c r="A164" s="51" t="s">
        <v>4</v>
      </c>
      <c r="B164" s="3" t="s">
        <v>5</v>
      </c>
      <c r="C164" s="52" t="s">
        <v>6</v>
      </c>
      <c r="D164" s="15" t="s">
        <v>7</v>
      </c>
      <c r="E164" s="3" t="s">
        <v>8</v>
      </c>
      <c r="F164" s="3" t="s">
        <v>9</v>
      </c>
      <c r="G164" s="3" t="s">
        <v>10</v>
      </c>
      <c r="H164" s="8" t="s">
        <v>11</v>
      </c>
      <c r="I164" s="15" t="s">
        <v>12</v>
      </c>
      <c r="J164" s="31" t="s">
        <v>13</v>
      </c>
      <c r="K164" s="79" t="e">
        <f>VLOOKUP(C:C,Sheet2!B:H,7,0)</f>
        <v>#N/A</v>
      </c>
      <c r="M164" s="45"/>
    </row>
    <row r="165" spans="1:13" ht="15.75" customHeight="1" x14ac:dyDescent="0.25">
      <c r="A165" s="46" t="s">
        <v>394</v>
      </c>
      <c r="B165" s="50"/>
      <c r="C165" s="49"/>
      <c r="D165" s="54"/>
      <c r="E165" s="5"/>
      <c r="F165" s="5"/>
      <c r="G165" s="5"/>
      <c r="H165" s="9"/>
      <c r="I165" s="29"/>
      <c r="J165" s="27"/>
      <c r="K165" s="79" t="e">
        <f>VLOOKUP(C:C,Sheet2!B:H,7,0)</f>
        <v>#N/A</v>
      </c>
      <c r="L165" s="61"/>
      <c r="M165" s="61"/>
    </row>
    <row r="166" spans="1:13" x14ac:dyDescent="0.25">
      <c r="A166" s="72" t="s">
        <v>395</v>
      </c>
      <c r="B166" s="72"/>
      <c r="C166" s="73" t="s">
        <v>396</v>
      </c>
      <c r="D166" s="54">
        <v>3.4</v>
      </c>
      <c r="E166" s="73" t="s">
        <v>397</v>
      </c>
      <c r="F166" s="5" t="s">
        <v>398</v>
      </c>
      <c r="G166" s="75" t="s">
        <v>19</v>
      </c>
      <c r="H166" s="9">
        <v>33</v>
      </c>
      <c r="I166" s="29" t="s">
        <v>20</v>
      </c>
      <c r="J166" s="27" t="s">
        <v>39</v>
      </c>
      <c r="K166" s="79">
        <f>VLOOKUP(C:C,Sheet2!B:H,7,0)</f>
        <v>112.2</v>
      </c>
      <c r="M166" s="45"/>
    </row>
    <row r="167" spans="1:13" x14ac:dyDescent="0.25">
      <c r="A167" s="74" t="s">
        <v>399</v>
      </c>
      <c r="B167" s="50" t="s">
        <v>400</v>
      </c>
      <c r="C167" s="49" t="s">
        <v>401</v>
      </c>
      <c r="D167" s="54">
        <v>3.3</v>
      </c>
      <c r="E167" s="5" t="s">
        <v>376</v>
      </c>
      <c r="F167" s="5" t="s">
        <v>398</v>
      </c>
      <c r="G167" s="5" t="s">
        <v>19</v>
      </c>
      <c r="H167" s="9">
        <v>33</v>
      </c>
      <c r="I167" s="29" t="s">
        <v>20</v>
      </c>
      <c r="J167" s="27" t="s">
        <v>39</v>
      </c>
      <c r="K167" s="79">
        <f>VLOOKUP(C:C,Sheet2!B:H,7,0)</f>
        <v>108.9</v>
      </c>
      <c r="M167" s="45"/>
    </row>
    <row r="168" spans="1:13" x14ac:dyDescent="0.25">
      <c r="A168" s="48" t="s">
        <v>402</v>
      </c>
      <c r="B168" s="50" t="s">
        <v>403</v>
      </c>
      <c r="C168" s="49" t="s">
        <v>404</v>
      </c>
      <c r="D168" s="54">
        <v>3.9</v>
      </c>
      <c r="E168" s="5" t="s">
        <v>372</v>
      </c>
      <c r="F168" s="5" t="s">
        <v>26</v>
      </c>
      <c r="G168" s="5" t="s">
        <v>106</v>
      </c>
      <c r="H168" s="9">
        <v>30</v>
      </c>
      <c r="I168" s="29" t="s">
        <v>101</v>
      </c>
      <c r="J168" s="27" t="s">
        <v>21</v>
      </c>
      <c r="K168" s="79">
        <f>VLOOKUP(C:C,Sheet2!B:H,7,0)</f>
        <v>117</v>
      </c>
      <c r="M168" s="45"/>
    </row>
    <row r="169" spans="1:13" x14ac:dyDescent="0.25">
      <c r="A169" s="48" t="s">
        <v>405</v>
      </c>
      <c r="B169" s="50" t="s">
        <v>406</v>
      </c>
      <c r="C169" s="49" t="s">
        <v>407</v>
      </c>
      <c r="D169" s="54">
        <v>3.5</v>
      </c>
      <c r="E169" s="5" t="s">
        <v>372</v>
      </c>
      <c r="F169" s="5" t="s">
        <v>26</v>
      </c>
      <c r="G169" s="5" t="s">
        <v>106</v>
      </c>
      <c r="H169" s="9">
        <v>30</v>
      </c>
      <c r="I169" s="29" t="s">
        <v>20</v>
      </c>
      <c r="J169" s="27" t="s">
        <v>21</v>
      </c>
      <c r="K169" s="79">
        <f>VLOOKUP(C:C,Sheet2!B:H,7,0)</f>
        <v>105</v>
      </c>
      <c r="M169" s="45"/>
    </row>
    <row r="170" spans="1:13" ht="15.75" customHeight="1" x14ac:dyDescent="0.25">
      <c r="A170" s="62" t="s">
        <v>408</v>
      </c>
      <c r="B170" s="63" t="s">
        <v>406</v>
      </c>
      <c r="C170" s="64" t="s">
        <v>409</v>
      </c>
      <c r="D170" s="65">
        <v>3.6</v>
      </c>
      <c r="E170" s="66" t="s">
        <v>376</v>
      </c>
      <c r="F170" s="66" t="s">
        <v>26</v>
      </c>
      <c r="G170" s="66" t="s">
        <v>106</v>
      </c>
      <c r="H170" s="67">
        <v>33</v>
      </c>
      <c r="I170" s="68" t="s">
        <v>20</v>
      </c>
      <c r="J170" s="69" t="s">
        <v>39</v>
      </c>
      <c r="K170" s="79">
        <f>VLOOKUP(C:C,Sheet2!B:H,7,0)</f>
        <v>118.8</v>
      </c>
      <c r="M170" s="45"/>
    </row>
    <row r="171" spans="1:13" ht="15.75" customHeight="1" x14ac:dyDescent="0.25">
      <c r="A171" s="46" t="s">
        <v>410</v>
      </c>
      <c r="B171" s="70"/>
      <c r="C171" s="71"/>
      <c r="D171" s="57"/>
      <c r="E171" s="39"/>
      <c r="F171" s="39"/>
      <c r="G171" s="39"/>
      <c r="H171" s="40"/>
      <c r="I171" s="41"/>
      <c r="J171" s="42"/>
      <c r="K171" s="79" t="e">
        <f>VLOOKUP(C:C,Sheet2!B:H,7,0)</f>
        <v>#N/A</v>
      </c>
      <c r="M171" s="45"/>
    </row>
    <row r="172" spans="1:13" x14ac:dyDescent="0.25">
      <c r="A172" s="48" t="s">
        <v>411</v>
      </c>
      <c r="B172" s="50" t="s">
        <v>412</v>
      </c>
      <c r="C172" s="49" t="s">
        <v>413</v>
      </c>
      <c r="D172" s="54">
        <v>3.1</v>
      </c>
      <c r="E172" s="5" t="s">
        <v>177</v>
      </c>
      <c r="F172" s="5" t="s">
        <v>312</v>
      </c>
      <c r="G172" s="5" t="s">
        <v>106</v>
      </c>
      <c r="H172" s="9">
        <v>40</v>
      </c>
      <c r="I172" s="29" t="s">
        <v>91</v>
      </c>
      <c r="J172" s="27" t="s">
        <v>39</v>
      </c>
      <c r="K172" s="79">
        <f>VLOOKUP(C:C,Sheet2!B:H,7,0)</f>
        <v>124</v>
      </c>
      <c r="M172" s="45"/>
    </row>
    <row r="173" spans="1:13" x14ac:dyDescent="0.25">
      <c r="A173" s="48" t="s">
        <v>414</v>
      </c>
      <c r="B173" s="50" t="s">
        <v>412</v>
      </c>
      <c r="C173" s="49" t="s">
        <v>415</v>
      </c>
      <c r="D173" s="54">
        <v>3.2</v>
      </c>
      <c r="E173" s="5" t="s">
        <v>177</v>
      </c>
      <c r="F173" s="5" t="s">
        <v>312</v>
      </c>
      <c r="G173" s="5" t="s">
        <v>106</v>
      </c>
      <c r="H173" s="9">
        <v>40</v>
      </c>
      <c r="I173" s="29" t="s">
        <v>91</v>
      </c>
      <c r="J173" s="27" t="s">
        <v>39</v>
      </c>
      <c r="K173" s="79">
        <f>VLOOKUP(C:C,Sheet2!B:H,7,0)</f>
        <v>128</v>
      </c>
      <c r="M173" s="45"/>
    </row>
    <row r="174" spans="1:13" x14ac:dyDescent="0.25">
      <c r="A174" s="48" t="s">
        <v>416</v>
      </c>
      <c r="B174" s="50" t="s">
        <v>417</v>
      </c>
      <c r="C174" s="49" t="s">
        <v>418</v>
      </c>
      <c r="D174" s="54">
        <v>3.4</v>
      </c>
      <c r="E174" s="5" t="s">
        <v>320</v>
      </c>
      <c r="F174" s="5" t="s">
        <v>18</v>
      </c>
      <c r="G174" s="5" t="s">
        <v>106</v>
      </c>
      <c r="H174" s="9">
        <v>40</v>
      </c>
      <c r="I174" s="29" t="s">
        <v>91</v>
      </c>
      <c r="J174" s="27" t="s">
        <v>39</v>
      </c>
      <c r="K174" s="79">
        <f>VLOOKUP(C:C,Sheet2!B:H,7,0)</f>
        <v>136</v>
      </c>
      <c r="M174" s="45"/>
    </row>
    <row r="175" spans="1:13" ht="15.75" customHeight="1" x14ac:dyDescent="0.25">
      <c r="A175" s="48" t="s">
        <v>419</v>
      </c>
      <c r="B175" s="50" t="e">
        <v>#N/A</v>
      </c>
      <c r="C175" s="49" t="s">
        <v>420</v>
      </c>
      <c r="D175" s="84" t="s">
        <v>64</v>
      </c>
      <c r="E175" s="5" t="s">
        <v>421</v>
      </c>
      <c r="F175" s="5" t="s">
        <v>422</v>
      </c>
      <c r="G175" s="5" t="s">
        <v>106</v>
      </c>
      <c r="H175" s="9"/>
      <c r="I175" s="29" t="s">
        <v>91</v>
      </c>
      <c r="J175" s="27" t="s">
        <v>39</v>
      </c>
      <c r="K175" s="79" t="e">
        <f>VLOOKUP(C:C,Sheet2!B:H,7,0)</f>
        <v>#N/A</v>
      </c>
      <c r="M175" s="45"/>
    </row>
    <row r="176" spans="1:13" ht="15.75" customHeight="1" x14ac:dyDescent="0.25">
      <c r="A176" s="48" t="s">
        <v>423</v>
      </c>
      <c r="B176" s="50" t="e">
        <v>#N/A</v>
      </c>
      <c r="C176" s="49" t="s">
        <v>424</v>
      </c>
      <c r="D176" s="84" t="s">
        <v>64</v>
      </c>
      <c r="E176" s="5" t="s">
        <v>421</v>
      </c>
      <c r="F176" s="5" t="s">
        <v>422</v>
      </c>
      <c r="G176" s="5" t="s">
        <v>106</v>
      </c>
      <c r="H176" s="9"/>
      <c r="I176" s="29" t="s">
        <v>91</v>
      </c>
      <c r="J176" s="27" t="s">
        <v>39</v>
      </c>
      <c r="K176" s="79" t="e">
        <f>VLOOKUP(C:C,Sheet2!B:H,7,0)</f>
        <v>#N/A</v>
      </c>
      <c r="M176" s="45"/>
    </row>
    <row r="177" spans="1:13" ht="15.75" customHeight="1" x14ac:dyDescent="0.25">
      <c r="A177" s="46" t="s">
        <v>425</v>
      </c>
      <c r="B177" s="50"/>
      <c r="C177" s="49"/>
      <c r="D177" s="54"/>
      <c r="E177" s="5"/>
      <c r="F177" s="5"/>
      <c r="G177" s="5"/>
      <c r="H177" s="9"/>
      <c r="I177" s="29"/>
      <c r="J177" s="27"/>
      <c r="K177" s="79" t="e">
        <f>VLOOKUP(C:C,Sheet2!B:H,7,0)</f>
        <v>#N/A</v>
      </c>
      <c r="M177" s="45"/>
    </row>
    <row r="178" spans="1:13" ht="15.75" customHeight="1" x14ac:dyDescent="0.25">
      <c r="A178" s="48" t="s">
        <v>426</v>
      </c>
      <c r="B178" s="50">
        <v>0</v>
      </c>
      <c r="C178" s="49" t="s">
        <v>427</v>
      </c>
      <c r="D178" s="84" t="s">
        <v>64</v>
      </c>
      <c r="E178" s="5" t="s">
        <v>421</v>
      </c>
      <c r="F178" s="5" t="s">
        <v>422</v>
      </c>
      <c r="G178" s="5" t="s">
        <v>19</v>
      </c>
      <c r="H178" s="9">
        <v>25</v>
      </c>
      <c r="I178" s="29" t="s">
        <v>39</v>
      </c>
      <c r="J178" s="27" t="s">
        <v>39</v>
      </c>
      <c r="K178" s="79" t="e">
        <f>VLOOKUP(C:C,Sheet2!B:H,7,0)</f>
        <v>#N/A</v>
      </c>
      <c r="M178" s="45"/>
    </row>
    <row r="179" spans="1:13" ht="15.75" customHeight="1" x14ac:dyDescent="0.25">
      <c r="A179" s="48" t="s">
        <v>428</v>
      </c>
      <c r="B179" s="50">
        <v>0</v>
      </c>
      <c r="C179" s="49" t="s">
        <v>429</v>
      </c>
      <c r="D179" s="54">
        <v>1.7</v>
      </c>
      <c r="E179" s="5" t="s">
        <v>421</v>
      </c>
      <c r="F179" s="5" t="s">
        <v>422</v>
      </c>
      <c r="G179" s="5" t="s">
        <v>19</v>
      </c>
      <c r="H179" s="9">
        <v>25</v>
      </c>
      <c r="I179" s="29" t="s">
        <v>39</v>
      </c>
      <c r="J179" s="27" t="s">
        <v>39</v>
      </c>
      <c r="K179" s="79">
        <f>VLOOKUP(C:C,Sheet2!B:H,7,0)</f>
        <v>42.5</v>
      </c>
      <c r="M179" s="45"/>
    </row>
    <row r="180" spans="1:13" ht="15.75" customHeight="1" x14ac:dyDescent="0.25">
      <c r="A180" s="46" t="s">
        <v>430</v>
      </c>
      <c r="B180" s="50"/>
      <c r="C180" s="49"/>
      <c r="D180" s="54"/>
      <c r="E180" s="5"/>
      <c r="F180" s="5"/>
      <c r="G180" s="5"/>
      <c r="H180" s="9"/>
      <c r="I180" s="29"/>
      <c r="J180" s="27"/>
      <c r="K180" s="79" t="e">
        <f>VLOOKUP(C:C,Sheet2!B:H,7,0)</f>
        <v>#N/A</v>
      </c>
      <c r="M180" s="45"/>
    </row>
    <row r="181" spans="1:13" x14ac:dyDescent="0.25">
      <c r="A181" s="4" t="s">
        <v>431</v>
      </c>
      <c r="B181" s="38" t="s">
        <v>432</v>
      </c>
      <c r="C181" s="5" t="s">
        <v>433</v>
      </c>
      <c r="D181" s="54">
        <v>3.9</v>
      </c>
      <c r="E181" s="5" t="s">
        <v>372</v>
      </c>
      <c r="F181" s="5" t="s">
        <v>18</v>
      </c>
      <c r="G181" s="5" t="s">
        <v>106</v>
      </c>
      <c r="H181" s="9">
        <v>30</v>
      </c>
      <c r="I181" s="29" t="s">
        <v>20</v>
      </c>
      <c r="J181" s="27" t="s">
        <v>21</v>
      </c>
      <c r="K181" s="79">
        <f>VLOOKUP(C:C,Sheet2!B:H,7,0)</f>
        <v>117</v>
      </c>
      <c r="M181" s="45"/>
    </row>
    <row r="182" spans="1:13" x14ac:dyDescent="0.25">
      <c r="A182" s="4" t="s">
        <v>434</v>
      </c>
      <c r="B182" s="4" t="s">
        <v>432</v>
      </c>
      <c r="C182" s="5" t="s">
        <v>435</v>
      </c>
      <c r="D182" s="54">
        <v>3.8</v>
      </c>
      <c r="E182" s="5" t="s">
        <v>376</v>
      </c>
      <c r="F182" s="5" t="s">
        <v>26</v>
      </c>
      <c r="G182" s="5" t="s">
        <v>106</v>
      </c>
      <c r="H182" s="9">
        <v>33</v>
      </c>
      <c r="I182" s="29" t="s">
        <v>20</v>
      </c>
      <c r="J182" s="27" t="s">
        <v>39</v>
      </c>
      <c r="K182" s="79">
        <f>VLOOKUP(C:C,Sheet2!B:H,7,0)</f>
        <v>125.4</v>
      </c>
      <c r="M182" s="45"/>
    </row>
    <row r="183" spans="1:13" x14ac:dyDescent="0.25">
      <c r="A183" s="4" t="s">
        <v>436</v>
      </c>
      <c r="B183" s="4" t="s">
        <v>432</v>
      </c>
      <c r="C183" s="5" t="s">
        <v>437</v>
      </c>
      <c r="D183" s="54">
        <v>3.8</v>
      </c>
      <c r="E183" s="5" t="s">
        <v>376</v>
      </c>
      <c r="F183" s="5" t="s">
        <v>26</v>
      </c>
      <c r="G183" s="5" t="s">
        <v>106</v>
      </c>
      <c r="H183" s="9">
        <v>33</v>
      </c>
      <c r="I183" s="29" t="s">
        <v>20</v>
      </c>
      <c r="J183" s="27" t="s">
        <v>39</v>
      </c>
      <c r="K183" s="79">
        <f>VLOOKUP(C:C,Sheet2!B:H,7,0)</f>
        <v>125.4</v>
      </c>
      <c r="M183" s="45"/>
    </row>
    <row r="184" spans="1:13" ht="15.75" customHeight="1" x14ac:dyDescent="0.25">
      <c r="A184" s="4" t="s">
        <v>438</v>
      </c>
      <c r="B184" s="4" t="s">
        <v>439</v>
      </c>
      <c r="C184" s="5" t="s">
        <v>440</v>
      </c>
      <c r="D184" s="54">
        <v>4.0999999999999996</v>
      </c>
      <c r="E184" s="5" t="s">
        <v>372</v>
      </c>
      <c r="F184" s="5" t="s">
        <v>26</v>
      </c>
      <c r="G184" s="5" t="s">
        <v>106</v>
      </c>
      <c r="H184" s="9">
        <v>30</v>
      </c>
      <c r="I184" s="29" t="s">
        <v>20</v>
      </c>
      <c r="J184" s="27" t="s">
        <v>21</v>
      </c>
      <c r="K184" s="79">
        <f>VLOOKUP(C:C,Sheet2!B:H,7,0)</f>
        <v>123</v>
      </c>
      <c r="M184" s="45"/>
    </row>
    <row r="185" spans="1:13" ht="15.75" customHeight="1" x14ac:dyDescent="0.25">
      <c r="A185" s="4" t="s">
        <v>441</v>
      </c>
      <c r="B185" s="4" t="s">
        <v>442</v>
      </c>
      <c r="C185" s="5" t="s">
        <v>443</v>
      </c>
      <c r="D185" s="54">
        <v>3.9</v>
      </c>
      <c r="E185" s="5" t="s">
        <v>372</v>
      </c>
      <c r="F185" s="5" t="s">
        <v>26</v>
      </c>
      <c r="G185" s="5" t="s">
        <v>106</v>
      </c>
      <c r="H185" s="9">
        <v>30</v>
      </c>
      <c r="I185" s="29" t="s">
        <v>20</v>
      </c>
      <c r="J185" s="27" t="s">
        <v>21</v>
      </c>
      <c r="K185" s="79">
        <f>VLOOKUP(C:C,Sheet2!B:H,7,0)</f>
        <v>117</v>
      </c>
      <c r="M185" s="45"/>
    </row>
    <row r="186" spans="1:13" ht="15.75" customHeight="1" x14ac:dyDescent="0.25">
      <c r="A186" s="46" t="s">
        <v>444</v>
      </c>
      <c r="B186" s="4"/>
      <c r="C186" s="5"/>
      <c r="D186" s="54"/>
      <c r="E186" s="5"/>
      <c r="F186" s="5"/>
      <c r="G186" s="5"/>
      <c r="H186" s="9"/>
      <c r="I186" s="29"/>
      <c r="J186" s="27"/>
      <c r="K186" s="79" t="e">
        <f>VLOOKUP(C:C,Sheet2!B:H,7,0)</f>
        <v>#N/A</v>
      </c>
      <c r="M186" s="45"/>
    </row>
    <row r="187" spans="1:13" ht="15.75" customHeight="1" x14ac:dyDescent="0.25">
      <c r="A187" s="4" t="s">
        <v>445</v>
      </c>
      <c r="B187" s="4" t="s">
        <v>446</v>
      </c>
      <c r="C187" s="5" t="s">
        <v>447</v>
      </c>
      <c r="D187" s="54">
        <v>2.8</v>
      </c>
      <c r="E187" s="5" t="s">
        <v>17</v>
      </c>
      <c r="F187" s="5" t="s">
        <v>26</v>
      </c>
      <c r="G187" s="5" t="s">
        <v>19</v>
      </c>
      <c r="H187" s="9">
        <v>26.25</v>
      </c>
      <c r="I187" s="29" t="s">
        <v>20</v>
      </c>
      <c r="J187" s="27" t="s">
        <v>21</v>
      </c>
      <c r="K187" s="79">
        <f>VLOOKUP(C:C,Sheet2!B:H,7,0)</f>
        <v>84</v>
      </c>
      <c r="M187" s="45"/>
    </row>
    <row r="188" spans="1:13" ht="15.75" customHeight="1" x14ac:dyDescent="0.25">
      <c r="A188" s="4" t="s">
        <v>448</v>
      </c>
      <c r="B188" s="4" t="s">
        <v>449</v>
      </c>
      <c r="C188" s="5" t="s">
        <v>450</v>
      </c>
      <c r="D188" s="54">
        <v>3</v>
      </c>
      <c r="E188" s="5" t="s">
        <v>17</v>
      </c>
      <c r="F188" s="5" t="s">
        <v>26</v>
      </c>
      <c r="G188" s="5" t="s">
        <v>106</v>
      </c>
      <c r="H188" s="9">
        <v>26.25</v>
      </c>
      <c r="I188" s="29" t="s">
        <v>20</v>
      </c>
      <c r="J188" s="27" t="s">
        <v>21</v>
      </c>
      <c r="K188" s="79">
        <f>VLOOKUP(C:C,Sheet2!B:H,7,0)</f>
        <v>90</v>
      </c>
      <c r="M188" s="45"/>
    </row>
    <row r="189" spans="1:13" ht="15.75" customHeight="1" x14ac:dyDescent="0.25">
      <c r="A189" s="46" t="s">
        <v>451</v>
      </c>
      <c r="B189" s="4"/>
      <c r="C189" s="5"/>
      <c r="D189" s="54"/>
      <c r="E189" s="5"/>
      <c r="F189" s="5"/>
      <c r="G189" s="5"/>
      <c r="H189" s="9"/>
      <c r="I189" s="29"/>
      <c r="J189" s="27"/>
      <c r="K189" s="79" t="e">
        <f>VLOOKUP(C:C,Sheet2!B:H,7,0)</f>
        <v>#N/A</v>
      </c>
      <c r="M189" s="45"/>
    </row>
    <row r="190" spans="1:13" ht="15.75" customHeight="1" x14ac:dyDescent="0.25">
      <c r="A190" s="4" t="s">
        <v>452</v>
      </c>
      <c r="B190" s="4" t="s">
        <v>453</v>
      </c>
      <c r="C190" s="5" t="s">
        <v>454</v>
      </c>
      <c r="D190" s="54">
        <v>4</v>
      </c>
      <c r="E190" s="5" t="s">
        <v>299</v>
      </c>
      <c r="F190" s="5" t="s">
        <v>18</v>
      </c>
      <c r="G190" s="5" t="s">
        <v>106</v>
      </c>
      <c r="H190" s="9">
        <v>10</v>
      </c>
      <c r="I190" s="29" t="s">
        <v>455</v>
      </c>
      <c r="J190" s="27" t="s">
        <v>39</v>
      </c>
      <c r="K190" s="79">
        <f>VLOOKUP(C:C,Sheet2!B:H,7,0)</f>
        <v>40</v>
      </c>
      <c r="M190" s="45"/>
    </row>
    <row r="191" spans="1:13" ht="15.75" customHeight="1" x14ac:dyDescent="0.25">
      <c r="A191" s="46" t="s">
        <v>456</v>
      </c>
      <c r="B191" s="4"/>
      <c r="C191" s="5"/>
      <c r="D191" s="54"/>
      <c r="E191" s="5"/>
      <c r="F191" s="5"/>
      <c r="G191" s="5"/>
      <c r="H191" s="9"/>
      <c r="I191" s="29"/>
      <c r="J191" s="27"/>
      <c r="K191" s="79" t="e">
        <f>VLOOKUP(C:C,Sheet2!B:H,7,0)</f>
        <v>#N/A</v>
      </c>
      <c r="M191" s="45"/>
    </row>
    <row r="192" spans="1:13" x14ac:dyDescent="0.25">
      <c r="A192" s="4" t="s">
        <v>457</v>
      </c>
      <c r="B192" s="4" t="s">
        <v>458</v>
      </c>
      <c r="C192" s="5" t="s">
        <v>459</v>
      </c>
      <c r="D192" s="54">
        <v>3.4</v>
      </c>
      <c r="E192" s="5" t="s">
        <v>294</v>
      </c>
      <c r="F192" s="5" t="s">
        <v>26</v>
      </c>
      <c r="G192" s="5" t="s">
        <v>19</v>
      </c>
      <c r="H192" s="9">
        <v>30</v>
      </c>
      <c r="I192" s="29" t="s">
        <v>20</v>
      </c>
      <c r="J192" s="27" t="s">
        <v>21</v>
      </c>
      <c r="K192" s="79">
        <f>VLOOKUP(C:C,Sheet2!B:H,7,0)</f>
        <v>102</v>
      </c>
      <c r="M192" s="45"/>
    </row>
    <row r="193" spans="1:13" x14ac:dyDescent="0.25">
      <c r="A193" s="4" t="s">
        <v>460</v>
      </c>
      <c r="B193" s="4" t="s">
        <v>461</v>
      </c>
      <c r="C193" s="5" t="s">
        <v>462</v>
      </c>
      <c r="D193" s="54">
        <v>7</v>
      </c>
      <c r="E193" s="5" t="s">
        <v>17</v>
      </c>
      <c r="F193" s="5" t="s">
        <v>26</v>
      </c>
      <c r="G193" s="5" t="s">
        <v>19</v>
      </c>
      <c r="H193" s="9">
        <v>26.25</v>
      </c>
      <c r="I193" s="29" t="s">
        <v>20</v>
      </c>
      <c r="J193" s="27" t="s">
        <v>21</v>
      </c>
      <c r="K193" s="79">
        <f>VLOOKUP(C:C,Sheet2!B:H,7,0)</f>
        <v>210</v>
      </c>
      <c r="M193" s="45"/>
    </row>
    <row r="194" spans="1:13" ht="15.75" customHeight="1" x14ac:dyDescent="0.25">
      <c r="A194" s="4" t="s">
        <v>463</v>
      </c>
      <c r="B194" s="4" t="s">
        <v>464</v>
      </c>
      <c r="C194" s="5" t="s">
        <v>465</v>
      </c>
      <c r="D194" s="54">
        <v>7.5</v>
      </c>
      <c r="E194" s="5" t="s">
        <v>43</v>
      </c>
      <c r="F194" s="5" t="s">
        <v>26</v>
      </c>
      <c r="G194" s="5" t="s">
        <v>19</v>
      </c>
      <c r="H194" s="9">
        <v>30</v>
      </c>
      <c r="I194" s="29" t="s">
        <v>20</v>
      </c>
      <c r="J194" s="27" t="s">
        <v>21</v>
      </c>
      <c r="K194" s="79">
        <f>VLOOKUP(C:C,Sheet2!B:H,7,0)</f>
        <v>225</v>
      </c>
      <c r="M194" s="45"/>
    </row>
    <row r="195" spans="1:13" ht="15.75" customHeight="1" x14ac:dyDescent="0.25">
      <c r="A195" s="4" t="s">
        <v>466</v>
      </c>
      <c r="B195" s="4" t="s">
        <v>467</v>
      </c>
      <c r="C195" s="5" t="s">
        <v>468</v>
      </c>
      <c r="D195" s="54">
        <v>7.5</v>
      </c>
      <c r="E195" s="5" t="s">
        <v>17</v>
      </c>
      <c r="F195" s="5" t="s">
        <v>398</v>
      </c>
      <c r="G195" s="5" t="s">
        <v>19</v>
      </c>
      <c r="H195" s="9">
        <v>26.25</v>
      </c>
      <c r="I195" s="29" t="s">
        <v>20</v>
      </c>
      <c r="J195" s="27" t="s">
        <v>21</v>
      </c>
      <c r="K195" s="79">
        <f>VLOOKUP(C:C,Sheet2!B:H,7,0)</f>
        <v>225</v>
      </c>
      <c r="M195" s="45"/>
    </row>
    <row r="196" spans="1:13" ht="15.75" customHeight="1" x14ac:dyDescent="0.25">
      <c r="A196" s="46" t="s">
        <v>469</v>
      </c>
      <c r="B196" s="4"/>
      <c r="C196" s="5"/>
      <c r="D196" s="54"/>
      <c r="E196" s="5"/>
      <c r="F196" s="5"/>
      <c r="G196" s="5"/>
      <c r="H196" s="9"/>
      <c r="I196" s="29"/>
      <c r="J196" s="27"/>
      <c r="K196" s="79" t="e">
        <f>VLOOKUP(C:C,Sheet2!B:H,7,0)</f>
        <v>#N/A</v>
      </c>
      <c r="M196" s="45"/>
    </row>
    <row r="197" spans="1:13" x14ac:dyDescent="0.25">
      <c r="A197" s="4" t="s">
        <v>470</v>
      </c>
      <c r="B197" s="4" t="s">
        <v>471</v>
      </c>
      <c r="C197" s="5" t="s">
        <v>472</v>
      </c>
      <c r="D197" s="54">
        <v>2.8</v>
      </c>
      <c r="E197" s="5" t="s">
        <v>376</v>
      </c>
      <c r="F197" s="5" t="s">
        <v>26</v>
      </c>
      <c r="G197" s="5" t="s">
        <v>19</v>
      </c>
      <c r="H197" s="9">
        <v>33</v>
      </c>
      <c r="I197" s="29" t="s">
        <v>20</v>
      </c>
      <c r="J197" s="27" t="s">
        <v>39</v>
      </c>
      <c r="K197" s="79">
        <f>VLOOKUP(C:C,Sheet2!B:H,7,0)</f>
        <v>92.4</v>
      </c>
      <c r="M197" s="45"/>
    </row>
    <row r="198" spans="1:13" ht="15.75" customHeight="1" x14ac:dyDescent="0.25">
      <c r="A198" s="4" t="s">
        <v>473</v>
      </c>
      <c r="B198" s="4" t="s">
        <v>471</v>
      </c>
      <c r="C198" s="5" t="s">
        <v>474</v>
      </c>
      <c r="D198" s="54">
        <v>2.6</v>
      </c>
      <c r="E198" s="5" t="s">
        <v>376</v>
      </c>
      <c r="F198" s="5" t="s">
        <v>61</v>
      </c>
      <c r="G198" s="5" t="s">
        <v>19</v>
      </c>
      <c r="H198" s="9">
        <v>33</v>
      </c>
      <c r="I198" s="29" t="s">
        <v>20</v>
      </c>
      <c r="J198" s="27" t="s">
        <v>39</v>
      </c>
      <c r="K198" s="79">
        <f>VLOOKUP(C:C,Sheet2!B:H,7,0)</f>
        <v>85.8</v>
      </c>
      <c r="M198" s="45"/>
    </row>
    <row r="199" spans="1:13" ht="15.75" customHeight="1" x14ac:dyDescent="0.25">
      <c r="A199" s="4" t="s">
        <v>475</v>
      </c>
      <c r="B199" s="4" t="s">
        <v>471</v>
      </c>
      <c r="C199" s="5" t="s">
        <v>476</v>
      </c>
      <c r="D199" s="54">
        <v>2.7</v>
      </c>
      <c r="E199" s="5" t="s">
        <v>376</v>
      </c>
      <c r="F199" s="5" t="s">
        <v>61</v>
      </c>
      <c r="G199" s="5" t="s">
        <v>19</v>
      </c>
      <c r="H199" s="9">
        <v>33</v>
      </c>
      <c r="I199" s="29" t="s">
        <v>20</v>
      </c>
      <c r="J199" s="27" t="s">
        <v>39</v>
      </c>
      <c r="K199" s="79">
        <f>VLOOKUP(C:C,Sheet2!B:H,7,0)</f>
        <v>89.1</v>
      </c>
      <c r="M199" s="45"/>
    </row>
    <row r="200" spans="1:13" ht="15.75" customHeight="1" x14ac:dyDescent="0.25">
      <c r="A200" s="46" t="s">
        <v>477</v>
      </c>
      <c r="B200" s="4"/>
      <c r="C200" s="5"/>
      <c r="D200" s="54"/>
      <c r="E200" s="5"/>
      <c r="F200" s="5"/>
      <c r="G200" s="5"/>
      <c r="H200" s="9"/>
      <c r="I200" s="29"/>
      <c r="J200" s="27"/>
      <c r="K200" s="79" t="e">
        <f>VLOOKUP(C:C,Sheet2!B:H,7,0)</f>
        <v>#N/A</v>
      </c>
      <c r="M200" s="45"/>
    </row>
    <row r="201" spans="1:13" x14ac:dyDescent="0.25">
      <c r="A201" s="4" t="s">
        <v>478</v>
      </c>
      <c r="B201" s="4" t="s">
        <v>479</v>
      </c>
      <c r="C201" s="5" t="s">
        <v>480</v>
      </c>
      <c r="D201" s="54">
        <v>3.8</v>
      </c>
      <c r="E201" s="5" t="s">
        <v>376</v>
      </c>
      <c r="F201" s="5" t="s">
        <v>26</v>
      </c>
      <c r="G201" s="5" t="s">
        <v>19</v>
      </c>
      <c r="H201" s="9">
        <v>33</v>
      </c>
      <c r="I201" s="29" t="s">
        <v>20</v>
      </c>
      <c r="J201" s="27" t="s">
        <v>39</v>
      </c>
      <c r="K201" s="79">
        <f>VLOOKUP(C:C,Sheet2!B:H,7,0)</f>
        <v>125.4</v>
      </c>
      <c r="M201" s="45"/>
    </row>
    <row r="202" spans="1:13" ht="15.75" customHeight="1" x14ac:dyDescent="0.25">
      <c r="A202" s="4" t="s">
        <v>481</v>
      </c>
      <c r="B202" s="4" t="s">
        <v>482</v>
      </c>
      <c r="C202" s="5" t="s">
        <v>483</v>
      </c>
      <c r="D202" s="54">
        <v>3.8</v>
      </c>
      <c r="E202" s="5" t="s">
        <v>484</v>
      </c>
      <c r="F202" s="5" t="s">
        <v>26</v>
      </c>
      <c r="G202" s="5" t="s">
        <v>19</v>
      </c>
      <c r="H202" s="9">
        <v>50</v>
      </c>
      <c r="I202" s="29" t="s">
        <v>20</v>
      </c>
      <c r="J202" s="27" t="s">
        <v>39</v>
      </c>
      <c r="K202" s="79">
        <f>VLOOKUP(C:C,Sheet2!B:H,7,0)</f>
        <v>190</v>
      </c>
      <c r="M202" s="45"/>
    </row>
    <row r="203" spans="1:13" ht="15.75" customHeight="1" x14ac:dyDescent="0.25">
      <c r="A203" s="4" t="s">
        <v>485</v>
      </c>
      <c r="B203" s="4" t="s">
        <v>482</v>
      </c>
      <c r="C203" s="5" t="s">
        <v>486</v>
      </c>
      <c r="D203" s="54">
        <v>4</v>
      </c>
      <c r="E203" s="5" t="s">
        <v>487</v>
      </c>
      <c r="F203" s="5" t="s">
        <v>26</v>
      </c>
      <c r="G203" s="5" t="s">
        <v>19</v>
      </c>
      <c r="H203" s="9">
        <v>35</v>
      </c>
      <c r="I203" s="29" t="s">
        <v>20</v>
      </c>
      <c r="J203" s="27" t="s">
        <v>21</v>
      </c>
      <c r="K203" s="79">
        <f>VLOOKUP(C:C,Sheet2!B:H,7,0)</f>
        <v>160</v>
      </c>
      <c r="M203" s="45"/>
    </row>
    <row r="204" spans="1:13" ht="15.75" customHeight="1" x14ac:dyDescent="0.25">
      <c r="A204" s="46" t="s">
        <v>488</v>
      </c>
      <c r="B204" s="4"/>
      <c r="C204" s="5"/>
      <c r="D204" s="54"/>
      <c r="E204" s="5"/>
      <c r="F204" s="5"/>
      <c r="G204" s="5"/>
      <c r="H204" s="9"/>
      <c r="I204" s="29"/>
      <c r="J204" s="27"/>
      <c r="K204" s="79" t="e">
        <f>VLOOKUP(C:C,Sheet2!B:H,7,0)</f>
        <v>#N/A</v>
      </c>
      <c r="M204" s="45"/>
    </row>
    <row r="205" spans="1:13" x14ac:dyDescent="0.25">
      <c r="A205" s="4" t="s">
        <v>489</v>
      </c>
      <c r="B205" s="4" t="s">
        <v>490</v>
      </c>
      <c r="C205" s="5" t="s">
        <v>491</v>
      </c>
      <c r="D205" s="84" t="s">
        <v>64</v>
      </c>
      <c r="E205" s="5" t="s">
        <v>43</v>
      </c>
      <c r="F205" s="5" t="s">
        <v>26</v>
      </c>
      <c r="G205" s="5" t="s">
        <v>19</v>
      </c>
      <c r="H205" s="9">
        <v>30</v>
      </c>
      <c r="I205" s="29" t="s">
        <v>20</v>
      </c>
      <c r="J205" s="27" t="s">
        <v>21</v>
      </c>
      <c r="K205" s="79" t="e">
        <f>VLOOKUP(C:C,Sheet2!B:H,7,0)</f>
        <v>#N/A</v>
      </c>
      <c r="M205" s="45"/>
    </row>
    <row r="206" spans="1:13" x14ac:dyDescent="0.25">
      <c r="A206" s="4" t="s">
        <v>492</v>
      </c>
      <c r="B206" s="4" t="s">
        <v>493</v>
      </c>
      <c r="C206" s="5" t="s">
        <v>494</v>
      </c>
      <c r="D206" s="84" t="s">
        <v>64</v>
      </c>
      <c r="E206" s="5" t="s">
        <v>372</v>
      </c>
      <c r="F206" s="5" t="s">
        <v>26</v>
      </c>
      <c r="G206" s="5" t="s">
        <v>19</v>
      </c>
      <c r="H206" s="9">
        <v>30</v>
      </c>
      <c r="I206" s="29" t="s">
        <v>20</v>
      </c>
      <c r="J206" s="27" t="s">
        <v>21</v>
      </c>
      <c r="K206" s="79" t="e">
        <f>VLOOKUP(C:C,Sheet2!B:H,7,0)</f>
        <v>#N/A</v>
      </c>
      <c r="M206" s="45"/>
    </row>
    <row r="207" spans="1:13" ht="15.75" customHeight="1" x14ac:dyDescent="0.25">
      <c r="A207" s="4" t="s">
        <v>495</v>
      </c>
      <c r="B207" s="4" t="s">
        <v>493</v>
      </c>
      <c r="C207" s="5" t="s">
        <v>496</v>
      </c>
      <c r="D207" s="84" t="s">
        <v>64</v>
      </c>
      <c r="E207" s="5" t="s">
        <v>372</v>
      </c>
      <c r="F207" s="5" t="s">
        <v>26</v>
      </c>
      <c r="G207" s="5" t="s">
        <v>19</v>
      </c>
      <c r="H207" s="9">
        <v>30</v>
      </c>
      <c r="I207" s="29" t="s">
        <v>20</v>
      </c>
      <c r="J207" s="27" t="s">
        <v>21</v>
      </c>
      <c r="K207" s="79" t="e">
        <f>VLOOKUP(C:C,Sheet2!B:H,7,0)</f>
        <v>#N/A</v>
      </c>
      <c r="M207" s="45"/>
    </row>
    <row r="208" spans="1:13" ht="15.75" customHeight="1" x14ac:dyDescent="0.25">
      <c r="A208" s="4" t="s">
        <v>497</v>
      </c>
      <c r="B208" s="4" t="s">
        <v>493</v>
      </c>
      <c r="C208" s="5" t="s">
        <v>498</v>
      </c>
      <c r="D208" s="84" t="s">
        <v>64</v>
      </c>
      <c r="E208" s="5" t="s">
        <v>372</v>
      </c>
      <c r="F208" s="5" t="s">
        <v>26</v>
      </c>
      <c r="G208" s="5" t="s">
        <v>19</v>
      </c>
      <c r="H208" s="9">
        <v>30</v>
      </c>
      <c r="I208" s="29" t="s">
        <v>20</v>
      </c>
      <c r="J208" s="27" t="s">
        <v>21</v>
      </c>
      <c r="K208" s="79" t="e">
        <f>VLOOKUP(C:C,Sheet2!B:H,7,0)</f>
        <v>#N/A</v>
      </c>
      <c r="M208" s="45"/>
    </row>
    <row r="209" spans="1:13" ht="15.75" customHeight="1" x14ac:dyDescent="0.25">
      <c r="A209" s="46" t="s">
        <v>499</v>
      </c>
      <c r="B209" s="4"/>
      <c r="C209" s="5"/>
      <c r="D209" s="54"/>
      <c r="E209" s="5"/>
      <c r="F209" s="5"/>
      <c r="G209" s="5"/>
      <c r="H209" s="9"/>
      <c r="I209" s="29"/>
      <c r="J209" s="27"/>
      <c r="K209" s="79" t="e">
        <f>VLOOKUP(C:C,Sheet2!B:H,7,0)</f>
        <v>#N/A</v>
      </c>
      <c r="M209" s="45"/>
    </row>
    <row r="210" spans="1:13" x14ac:dyDescent="0.25">
      <c r="A210" s="4" t="s">
        <v>500</v>
      </c>
      <c r="B210" s="4" t="s">
        <v>501</v>
      </c>
      <c r="C210" s="5" t="s">
        <v>502</v>
      </c>
      <c r="D210" s="54">
        <v>3.9</v>
      </c>
      <c r="E210" s="5" t="s">
        <v>17</v>
      </c>
      <c r="F210" s="5" t="s">
        <v>398</v>
      </c>
      <c r="G210" s="5" t="s">
        <v>19</v>
      </c>
      <c r="H210" s="9">
        <v>26.25</v>
      </c>
      <c r="I210" s="29" t="s">
        <v>20</v>
      </c>
      <c r="J210" s="27" t="s">
        <v>21</v>
      </c>
      <c r="K210" s="79">
        <f>VLOOKUP(C:C,Sheet2!B:H,7,0)</f>
        <v>117</v>
      </c>
      <c r="M210" s="45"/>
    </row>
    <row r="211" spans="1:13" x14ac:dyDescent="0.25">
      <c r="A211" s="4" t="s">
        <v>503</v>
      </c>
      <c r="B211" s="4" t="s">
        <v>504</v>
      </c>
      <c r="C211" s="5" t="s">
        <v>505</v>
      </c>
      <c r="D211" s="54">
        <v>2</v>
      </c>
      <c r="E211" s="5" t="s">
        <v>116</v>
      </c>
      <c r="F211" s="5" t="s">
        <v>26</v>
      </c>
      <c r="G211" s="5" t="s">
        <v>19</v>
      </c>
      <c r="H211" s="9">
        <v>26.25</v>
      </c>
      <c r="I211" s="29" t="s">
        <v>20</v>
      </c>
      <c r="J211" s="27" t="s">
        <v>21</v>
      </c>
      <c r="K211" s="79">
        <f>VLOOKUP(C:C,Sheet2!B:H,7,0)</f>
        <v>120</v>
      </c>
      <c r="M211" s="45"/>
    </row>
    <row r="212" spans="1:13" ht="15.75" customHeight="1" x14ac:dyDescent="0.25">
      <c r="A212" s="4" t="s">
        <v>506</v>
      </c>
      <c r="B212" s="4" t="s">
        <v>507</v>
      </c>
      <c r="C212" s="5" t="s">
        <v>508</v>
      </c>
      <c r="D212" s="54">
        <v>4.0999999999999996</v>
      </c>
      <c r="E212" s="5" t="s">
        <v>372</v>
      </c>
      <c r="F212" s="5" t="s">
        <v>26</v>
      </c>
      <c r="G212" s="5" t="s">
        <v>19</v>
      </c>
      <c r="H212" s="9">
        <v>30</v>
      </c>
      <c r="I212" s="29" t="s">
        <v>20</v>
      </c>
      <c r="J212" s="27" t="s">
        <v>21</v>
      </c>
      <c r="K212" s="79">
        <f>VLOOKUP(C:C,Sheet2!B:H,7,0)</f>
        <v>123</v>
      </c>
      <c r="M212" s="45"/>
    </row>
    <row r="213" spans="1:13" ht="15.75" customHeight="1" x14ac:dyDescent="0.25">
      <c r="A213" s="4" t="s">
        <v>509</v>
      </c>
      <c r="B213" s="4" t="s">
        <v>510</v>
      </c>
      <c r="C213" s="5" t="s">
        <v>511</v>
      </c>
      <c r="D213" s="54">
        <v>3.9</v>
      </c>
      <c r="E213" s="5" t="s">
        <v>17</v>
      </c>
      <c r="F213" s="5" t="s">
        <v>26</v>
      </c>
      <c r="G213" s="5" t="s">
        <v>19</v>
      </c>
      <c r="H213" s="9">
        <v>26.25</v>
      </c>
      <c r="I213" s="29" t="s">
        <v>20</v>
      </c>
      <c r="J213" s="27" t="s">
        <v>21</v>
      </c>
      <c r="K213" s="79">
        <f>VLOOKUP(C:C,Sheet2!B:H,7,0)</f>
        <v>117</v>
      </c>
      <c r="M213" s="45"/>
    </row>
    <row r="214" spans="1:13" ht="15.75" customHeight="1" x14ac:dyDescent="0.25">
      <c r="A214" s="46" t="s">
        <v>512</v>
      </c>
      <c r="B214" s="4"/>
      <c r="C214" s="5"/>
      <c r="D214" s="54"/>
      <c r="E214" s="5"/>
      <c r="F214" s="5"/>
      <c r="G214" s="5"/>
      <c r="H214" s="9"/>
      <c r="I214" s="29"/>
      <c r="J214" s="27"/>
      <c r="K214" s="79" t="e">
        <f>VLOOKUP(C:C,Sheet2!B:H,7,0)</f>
        <v>#N/A</v>
      </c>
      <c r="M214" s="45"/>
    </row>
    <row r="215" spans="1:13" ht="15.75" customHeight="1" x14ac:dyDescent="0.25">
      <c r="A215" s="4" t="s">
        <v>513</v>
      </c>
      <c r="B215" s="4" t="s">
        <v>514</v>
      </c>
      <c r="C215" s="5" t="s">
        <v>515</v>
      </c>
      <c r="D215" s="54">
        <v>5.7</v>
      </c>
      <c r="E215" s="5" t="s">
        <v>376</v>
      </c>
      <c r="F215" s="5" t="s">
        <v>26</v>
      </c>
      <c r="G215" s="5" t="s">
        <v>19</v>
      </c>
      <c r="H215" s="9">
        <v>33</v>
      </c>
      <c r="I215" s="29" t="s">
        <v>20</v>
      </c>
      <c r="J215" s="27" t="s">
        <v>39</v>
      </c>
      <c r="K215" s="79">
        <f>VLOOKUP(C:C,Sheet2!B:H,7,0)</f>
        <v>188.1</v>
      </c>
      <c r="M215" s="45"/>
    </row>
    <row r="216" spans="1:13" ht="15.75" customHeight="1" x14ac:dyDescent="0.25">
      <c r="A216" s="46" t="s">
        <v>516</v>
      </c>
      <c r="B216" s="4"/>
      <c r="C216" s="5"/>
      <c r="D216" s="54"/>
      <c r="E216" s="5"/>
      <c r="F216" s="5"/>
      <c r="G216" s="5"/>
      <c r="H216" s="9"/>
      <c r="I216" s="29"/>
      <c r="J216" s="27"/>
      <c r="K216" s="79" t="e">
        <f>VLOOKUP(C:C,Sheet2!B:H,7,0)</f>
        <v>#N/A</v>
      </c>
      <c r="M216" s="45"/>
    </row>
    <row r="217" spans="1:13" x14ac:dyDescent="0.25">
      <c r="A217" s="4" t="s">
        <v>517</v>
      </c>
      <c r="B217" s="4" t="s">
        <v>518</v>
      </c>
      <c r="C217" s="5" t="s">
        <v>519</v>
      </c>
      <c r="D217" s="84" t="s">
        <v>64</v>
      </c>
      <c r="E217" s="5" t="s">
        <v>376</v>
      </c>
      <c r="F217" s="5" t="s">
        <v>398</v>
      </c>
      <c r="G217" s="5" t="s">
        <v>19</v>
      </c>
      <c r="H217" s="9"/>
      <c r="I217" s="29" t="s">
        <v>20</v>
      </c>
      <c r="J217" s="27" t="s">
        <v>39</v>
      </c>
      <c r="K217" s="79" t="e">
        <f>VLOOKUP(C:C,Sheet2!B:H,7,0)</f>
        <v>#N/A</v>
      </c>
      <c r="M217" s="45"/>
    </row>
    <row r="218" spans="1:13" x14ac:dyDescent="0.25">
      <c r="A218" s="4" t="s">
        <v>520</v>
      </c>
      <c r="B218" s="4" t="s">
        <v>518</v>
      </c>
      <c r="C218" s="5" t="s">
        <v>521</v>
      </c>
      <c r="D218" s="54">
        <v>9.8000000000000007</v>
      </c>
      <c r="E218" s="5" t="s">
        <v>376</v>
      </c>
      <c r="F218" s="5" t="s">
        <v>398</v>
      </c>
      <c r="G218" s="5" t="s">
        <v>19</v>
      </c>
      <c r="H218" s="9">
        <v>33</v>
      </c>
      <c r="I218" s="29" t="s">
        <v>20</v>
      </c>
      <c r="J218" s="27" t="s">
        <v>39</v>
      </c>
      <c r="K218" s="79">
        <f>VLOOKUP(C:C,Sheet2!B:H,7,0)</f>
        <v>323.39999999999998</v>
      </c>
      <c r="M218" s="45"/>
    </row>
    <row r="219" spans="1:13" x14ac:dyDescent="0.25">
      <c r="A219" s="4" t="s">
        <v>522</v>
      </c>
      <c r="B219" s="4" t="s">
        <v>518</v>
      </c>
      <c r="C219" s="5" t="s">
        <v>523</v>
      </c>
      <c r="D219" s="54">
        <v>10.5</v>
      </c>
      <c r="E219" s="5" t="s">
        <v>376</v>
      </c>
      <c r="F219" s="5" t="s">
        <v>398</v>
      </c>
      <c r="G219" s="5" t="s">
        <v>19</v>
      </c>
      <c r="H219" s="9">
        <v>33</v>
      </c>
      <c r="I219" s="29" t="s">
        <v>20</v>
      </c>
      <c r="J219" s="27" t="s">
        <v>39</v>
      </c>
      <c r="K219" s="79">
        <f>VLOOKUP(C:C,Sheet2!B:H,7,0)</f>
        <v>346.5</v>
      </c>
      <c r="M219" s="45"/>
    </row>
    <row r="220" spans="1:13" x14ac:dyDescent="0.25">
      <c r="A220" s="4" t="s">
        <v>524</v>
      </c>
      <c r="B220" s="4" t="s">
        <v>518</v>
      </c>
      <c r="C220" s="5" t="s">
        <v>525</v>
      </c>
      <c r="D220" s="54">
        <v>12.5</v>
      </c>
      <c r="E220" s="5" t="s">
        <v>376</v>
      </c>
      <c r="F220" s="5" t="s">
        <v>398</v>
      </c>
      <c r="G220" s="5" t="s">
        <v>19</v>
      </c>
      <c r="H220" s="9">
        <v>33</v>
      </c>
      <c r="I220" s="29" t="s">
        <v>20</v>
      </c>
      <c r="J220" s="27" t="s">
        <v>39</v>
      </c>
      <c r="K220" s="79">
        <f>VLOOKUP(C:C,Sheet2!B:H,7,0)</f>
        <v>412.5</v>
      </c>
      <c r="M220" s="45"/>
    </row>
    <row r="221" spans="1:13" ht="15.75" customHeight="1" x14ac:dyDescent="0.25">
      <c r="A221" s="4" t="s">
        <v>526</v>
      </c>
      <c r="B221" s="4" t="s">
        <v>518</v>
      </c>
      <c r="C221" s="5" t="s">
        <v>527</v>
      </c>
      <c r="D221" s="54">
        <v>7.7</v>
      </c>
      <c r="E221" s="5" t="s">
        <v>372</v>
      </c>
      <c r="F221" s="5" t="s">
        <v>398</v>
      </c>
      <c r="G221" s="5" t="s">
        <v>19</v>
      </c>
      <c r="H221" s="9">
        <v>30</v>
      </c>
      <c r="I221" s="29" t="s">
        <v>20</v>
      </c>
      <c r="J221" s="27" t="s">
        <v>39</v>
      </c>
      <c r="K221" s="79">
        <f>VLOOKUP(C:C,Sheet2!B:H,7,0)</f>
        <v>231</v>
      </c>
      <c r="M221" s="45"/>
    </row>
    <row r="222" spans="1:13" ht="15.75" customHeight="1" x14ac:dyDescent="0.25">
      <c r="A222" s="4" t="s">
        <v>528</v>
      </c>
      <c r="B222" s="4" t="s">
        <v>518</v>
      </c>
      <c r="C222" s="5" t="s">
        <v>529</v>
      </c>
      <c r="D222" s="54">
        <v>8</v>
      </c>
      <c r="E222" s="5" t="s">
        <v>376</v>
      </c>
      <c r="F222" s="5" t="s">
        <v>398</v>
      </c>
      <c r="G222" s="5" t="s">
        <v>19</v>
      </c>
      <c r="H222" s="9">
        <v>33</v>
      </c>
      <c r="I222" s="29" t="s">
        <v>20</v>
      </c>
      <c r="J222" s="27" t="s">
        <v>39</v>
      </c>
      <c r="K222" s="79">
        <f>VLOOKUP(C:C,Sheet2!B:H,7,0)</f>
        <v>264</v>
      </c>
      <c r="M222" s="45"/>
    </row>
    <row r="223" spans="1:13" ht="15.75" customHeight="1" x14ac:dyDescent="0.25">
      <c r="A223" s="46" t="s">
        <v>530</v>
      </c>
      <c r="B223" s="4"/>
      <c r="C223" s="5"/>
      <c r="D223" s="54"/>
      <c r="E223" s="5"/>
      <c r="F223" s="5"/>
      <c r="G223" s="5"/>
      <c r="H223" s="9"/>
      <c r="I223" s="29"/>
      <c r="J223" s="27"/>
      <c r="K223" s="79" t="e">
        <f>VLOOKUP(C:C,Sheet2!B:H,7,0)</f>
        <v>#N/A</v>
      </c>
      <c r="M223" s="45"/>
    </row>
    <row r="224" spans="1:13" ht="15.75" customHeight="1" x14ac:dyDescent="0.25">
      <c r="A224" s="4" t="s">
        <v>531</v>
      </c>
      <c r="B224" s="4" t="s">
        <v>532</v>
      </c>
      <c r="C224" s="5" t="s">
        <v>533</v>
      </c>
      <c r="D224" s="54">
        <v>4.6500000000000004</v>
      </c>
      <c r="E224" s="5" t="s">
        <v>534</v>
      </c>
      <c r="F224" s="5" t="s">
        <v>18</v>
      </c>
      <c r="G224" s="5" t="s">
        <v>19</v>
      </c>
      <c r="H224" s="9">
        <v>44</v>
      </c>
      <c r="I224" s="29" t="s">
        <v>48</v>
      </c>
      <c r="J224" s="27" t="s">
        <v>21</v>
      </c>
      <c r="K224" s="79">
        <f>VLOOKUP(C:C,Sheet2!B:H,7,0)</f>
        <v>204.6</v>
      </c>
      <c r="M224" s="45"/>
    </row>
    <row r="225" spans="1:13" ht="15.75" customHeight="1" x14ac:dyDescent="0.25">
      <c r="A225" s="4" t="s">
        <v>535</v>
      </c>
      <c r="B225" s="4" t="s">
        <v>532</v>
      </c>
      <c r="C225" s="5" t="s">
        <v>536</v>
      </c>
      <c r="D225" s="54">
        <v>3.4</v>
      </c>
      <c r="E225" s="5" t="s">
        <v>537</v>
      </c>
      <c r="F225" s="5" t="s">
        <v>18</v>
      </c>
      <c r="G225" s="5" t="s">
        <v>19</v>
      </c>
      <c r="H225" s="9">
        <v>30</v>
      </c>
      <c r="I225" s="29" t="s">
        <v>48</v>
      </c>
      <c r="J225" s="27" t="s">
        <v>21</v>
      </c>
      <c r="K225" s="79">
        <f>VLOOKUP(C:C,Sheet2!B:H,7,0)</f>
        <v>204</v>
      </c>
      <c r="M225" s="45"/>
    </row>
    <row r="226" spans="1:13" ht="15.75" customHeight="1" x14ac:dyDescent="0.25">
      <c r="A226" s="46" t="s">
        <v>538</v>
      </c>
      <c r="B226" s="4"/>
      <c r="C226" s="5"/>
      <c r="D226" s="54"/>
      <c r="E226" s="5"/>
      <c r="F226" s="5"/>
      <c r="G226" s="5"/>
      <c r="H226" s="9"/>
      <c r="I226" s="29"/>
      <c r="J226" s="27"/>
      <c r="K226" s="79" t="e">
        <f>VLOOKUP(C:C,Sheet2!B:H,7,0)</f>
        <v>#N/A</v>
      </c>
      <c r="M226" s="45"/>
    </row>
    <row r="227" spans="1:13" ht="15.75" customHeight="1" x14ac:dyDescent="0.25">
      <c r="A227" s="4" t="s">
        <v>539</v>
      </c>
      <c r="B227" s="4" t="s">
        <v>540</v>
      </c>
      <c r="C227" s="5" t="s">
        <v>541</v>
      </c>
      <c r="D227" s="54">
        <v>1.6</v>
      </c>
      <c r="E227" s="5" t="s">
        <v>421</v>
      </c>
      <c r="F227" s="5" t="s">
        <v>422</v>
      </c>
      <c r="G227" s="5" t="s">
        <v>19</v>
      </c>
      <c r="H227" s="9">
        <v>25</v>
      </c>
      <c r="I227" s="29" t="s">
        <v>39</v>
      </c>
      <c r="J227" s="27" t="s">
        <v>39</v>
      </c>
      <c r="K227" s="79">
        <f>VLOOKUP(C:C,Sheet2!B:H,7,0)</f>
        <v>40</v>
      </c>
      <c r="M227" s="45"/>
    </row>
    <row r="228" spans="1:13" ht="15.75" customHeight="1" x14ac:dyDescent="0.25">
      <c r="A228" s="4" t="s">
        <v>542</v>
      </c>
      <c r="B228" s="4" t="s">
        <v>540</v>
      </c>
      <c r="C228" s="5" t="s">
        <v>543</v>
      </c>
      <c r="D228" s="54">
        <v>1.7</v>
      </c>
      <c r="E228" s="5" t="s">
        <v>421</v>
      </c>
      <c r="F228" s="5" t="s">
        <v>422</v>
      </c>
      <c r="G228" s="5" t="s">
        <v>19</v>
      </c>
      <c r="H228" s="9">
        <v>25</v>
      </c>
      <c r="I228" s="29" t="s">
        <v>39</v>
      </c>
      <c r="J228" s="27" t="s">
        <v>39</v>
      </c>
      <c r="K228" s="79">
        <f>VLOOKUP(C:C,Sheet2!B:H,7,0)</f>
        <v>42.5</v>
      </c>
      <c r="M228" s="45"/>
    </row>
    <row r="229" spans="1:13" ht="15.75" customHeight="1" x14ac:dyDescent="0.25">
      <c r="A229" s="46" t="s">
        <v>544</v>
      </c>
      <c r="B229" s="4"/>
      <c r="C229" s="5"/>
      <c r="D229" s="54"/>
      <c r="E229" s="5"/>
      <c r="F229" s="5"/>
      <c r="G229" s="5"/>
      <c r="H229" s="9"/>
      <c r="I229" s="29"/>
      <c r="J229" s="27"/>
      <c r="K229" s="79" t="e">
        <f>VLOOKUP(C:C,Sheet2!B:H,7,0)</f>
        <v>#N/A</v>
      </c>
      <c r="M229" s="45"/>
    </row>
    <row r="230" spans="1:13" ht="15.75" customHeight="1" x14ac:dyDescent="0.25">
      <c r="A230" s="4" t="s">
        <v>545</v>
      </c>
      <c r="B230" s="4" t="s">
        <v>546</v>
      </c>
      <c r="C230" s="5" t="s">
        <v>547</v>
      </c>
      <c r="D230" s="54">
        <v>2.2999999999999998</v>
      </c>
      <c r="E230" s="5" t="s">
        <v>421</v>
      </c>
      <c r="F230" s="5" t="s">
        <v>422</v>
      </c>
      <c r="G230" s="5" t="s">
        <v>19</v>
      </c>
      <c r="H230" s="9">
        <v>25</v>
      </c>
      <c r="I230" s="29" t="s">
        <v>39</v>
      </c>
      <c r="J230" s="27" t="s">
        <v>39</v>
      </c>
      <c r="K230" s="79">
        <f>VLOOKUP(C:C,Sheet2!B:H,7,0)</f>
        <v>57.5</v>
      </c>
      <c r="M230" s="45"/>
    </row>
    <row r="231" spans="1:13" ht="15.75" customHeight="1" x14ac:dyDescent="0.25">
      <c r="A231" s="4" t="s">
        <v>548</v>
      </c>
      <c r="B231" s="4" t="s">
        <v>549</v>
      </c>
      <c r="C231" s="5" t="s">
        <v>550</v>
      </c>
      <c r="D231" s="54">
        <v>3.5</v>
      </c>
      <c r="E231" s="5" t="s">
        <v>551</v>
      </c>
      <c r="F231" s="5" t="s">
        <v>422</v>
      </c>
      <c r="G231" s="5" t="s">
        <v>19</v>
      </c>
      <c r="H231" s="9">
        <v>25</v>
      </c>
      <c r="I231" s="29" t="s">
        <v>39</v>
      </c>
      <c r="J231" s="27" t="s">
        <v>39</v>
      </c>
      <c r="K231" s="79">
        <f>VLOOKUP(C:C,Sheet2!B:H,7,0)</f>
        <v>87.5</v>
      </c>
      <c r="M231" s="45"/>
    </row>
    <row r="232" spans="1:13" ht="15.75" customHeight="1" x14ac:dyDescent="0.25">
      <c r="A232" s="46" t="s">
        <v>552</v>
      </c>
      <c r="B232" s="4"/>
      <c r="C232" s="5"/>
      <c r="D232" s="54"/>
      <c r="E232" s="5"/>
      <c r="F232" s="5"/>
      <c r="G232" s="5"/>
      <c r="H232" s="9"/>
      <c r="I232" s="29"/>
      <c r="J232" s="27"/>
      <c r="K232" s="79" t="e">
        <f>VLOOKUP(C:C,Sheet2!B:H,7,0)</f>
        <v>#N/A</v>
      </c>
      <c r="M232" s="45"/>
    </row>
    <row r="233" spans="1:13" x14ac:dyDescent="0.25">
      <c r="A233" s="4" t="s">
        <v>553</v>
      </c>
      <c r="B233" s="4" t="s">
        <v>554</v>
      </c>
      <c r="C233" s="5" t="s">
        <v>555</v>
      </c>
      <c r="D233" s="54">
        <v>1.8</v>
      </c>
      <c r="E233" s="5" t="s">
        <v>372</v>
      </c>
      <c r="F233" s="5" t="s">
        <v>26</v>
      </c>
      <c r="G233" s="5" t="s">
        <v>19</v>
      </c>
      <c r="H233" s="9">
        <v>30</v>
      </c>
      <c r="I233" s="29" t="s">
        <v>20</v>
      </c>
      <c r="J233" s="27" t="s">
        <v>21</v>
      </c>
      <c r="K233" s="79">
        <f>VLOOKUP(C:C,Sheet2!B:H,7,0)</f>
        <v>54</v>
      </c>
      <c r="M233" s="45"/>
    </row>
    <row r="234" spans="1:13" x14ac:dyDescent="0.25">
      <c r="A234" s="4" t="s">
        <v>556</v>
      </c>
      <c r="B234" s="4" t="s">
        <v>557</v>
      </c>
      <c r="C234" s="5" t="s">
        <v>558</v>
      </c>
      <c r="D234" s="54">
        <v>1.9</v>
      </c>
      <c r="E234" s="5" t="s">
        <v>372</v>
      </c>
      <c r="F234" s="5" t="s">
        <v>26</v>
      </c>
      <c r="G234" s="5" t="s">
        <v>19</v>
      </c>
      <c r="H234" s="9">
        <v>30</v>
      </c>
      <c r="I234" s="29" t="s">
        <v>20</v>
      </c>
      <c r="J234" s="27" t="s">
        <v>21</v>
      </c>
      <c r="K234" s="79">
        <f>VLOOKUP(C:C,Sheet2!B:H,7,0)</f>
        <v>57</v>
      </c>
      <c r="M234" s="45"/>
    </row>
    <row r="235" spans="1:13" x14ac:dyDescent="0.25">
      <c r="A235" s="4" t="s">
        <v>559</v>
      </c>
      <c r="B235" s="4" t="s">
        <v>557</v>
      </c>
      <c r="C235" s="5" t="s">
        <v>560</v>
      </c>
      <c r="D235" s="54">
        <v>1.8</v>
      </c>
      <c r="E235" s="5" t="s">
        <v>372</v>
      </c>
      <c r="F235" s="5" t="s">
        <v>26</v>
      </c>
      <c r="G235" s="5" t="s">
        <v>19</v>
      </c>
      <c r="H235" s="9">
        <v>30</v>
      </c>
      <c r="I235" s="29" t="s">
        <v>20</v>
      </c>
      <c r="J235" s="27" t="s">
        <v>21</v>
      </c>
      <c r="K235" s="79">
        <f>VLOOKUP(C:C,Sheet2!B:H,7,0)</f>
        <v>54</v>
      </c>
      <c r="M235" s="45"/>
    </row>
    <row r="236" spans="1:13" x14ac:dyDescent="0.25">
      <c r="A236" s="4" t="s">
        <v>561</v>
      </c>
      <c r="B236" s="4">
        <v>0</v>
      </c>
      <c r="C236" s="5" t="s">
        <v>562</v>
      </c>
      <c r="D236" s="54">
        <v>3.6</v>
      </c>
      <c r="E236" s="5" t="s">
        <v>563</v>
      </c>
      <c r="F236" s="5" t="s">
        <v>564</v>
      </c>
      <c r="G236" s="5" t="s">
        <v>19</v>
      </c>
      <c r="H236" s="9">
        <v>60</v>
      </c>
      <c r="I236" s="29" t="s">
        <v>39</v>
      </c>
      <c r="J236" s="27" t="s">
        <v>39</v>
      </c>
      <c r="K236" s="79" t="e">
        <f>VLOOKUP(C:C,Sheet2!B:H,7,0)</f>
        <v>#N/A</v>
      </c>
      <c r="M236" s="45"/>
    </row>
    <row r="237" spans="1:13" x14ac:dyDescent="0.25">
      <c r="A237" s="4" t="s">
        <v>565</v>
      </c>
      <c r="B237" s="4" t="s">
        <v>566</v>
      </c>
      <c r="C237" s="5" t="s">
        <v>567</v>
      </c>
      <c r="D237" s="54">
        <v>2</v>
      </c>
      <c r="E237" s="5" t="s">
        <v>568</v>
      </c>
      <c r="F237" s="5" t="s">
        <v>312</v>
      </c>
      <c r="G237" s="5" t="s">
        <v>19</v>
      </c>
      <c r="H237" s="9">
        <v>21</v>
      </c>
      <c r="I237" s="29" t="s">
        <v>39</v>
      </c>
      <c r="J237" s="27" t="s">
        <v>39</v>
      </c>
      <c r="K237" s="79" t="e">
        <f>VLOOKUP(C:C,Sheet2!B:H,7,0)</f>
        <v>#N/A</v>
      </c>
      <c r="M237" s="45"/>
    </row>
    <row r="238" spans="1:13" ht="15.75" customHeight="1" x14ac:dyDescent="0.25">
      <c r="A238" s="4" t="s">
        <v>569</v>
      </c>
      <c r="B238" s="47" t="s">
        <v>570</v>
      </c>
      <c r="C238" s="5" t="s">
        <v>571</v>
      </c>
      <c r="D238" s="54">
        <v>2.65</v>
      </c>
      <c r="E238" s="5" t="s">
        <v>249</v>
      </c>
      <c r="F238" s="5" t="s">
        <v>26</v>
      </c>
      <c r="G238" s="5" t="s">
        <v>19</v>
      </c>
      <c r="H238" s="9">
        <v>15</v>
      </c>
      <c r="I238" s="29" t="s">
        <v>101</v>
      </c>
      <c r="J238" s="27" t="s">
        <v>21</v>
      </c>
      <c r="K238" s="79">
        <f>VLOOKUP(C:C,Sheet2!B:H,7,0)</f>
        <v>79.5</v>
      </c>
      <c r="M238" s="45"/>
    </row>
    <row r="239" spans="1:13" ht="15.75" customHeight="1" x14ac:dyDescent="0.25">
      <c r="A239" s="48" t="s">
        <v>572</v>
      </c>
      <c r="B239" s="50" t="s">
        <v>570</v>
      </c>
      <c r="C239" s="49" t="s">
        <v>573</v>
      </c>
      <c r="D239" s="54">
        <v>2.65</v>
      </c>
      <c r="E239" s="5" t="s">
        <v>249</v>
      </c>
      <c r="F239" s="5" t="s">
        <v>26</v>
      </c>
      <c r="G239" s="5" t="s">
        <v>19</v>
      </c>
      <c r="H239" s="9">
        <v>15</v>
      </c>
      <c r="I239" s="29" t="s">
        <v>101</v>
      </c>
      <c r="J239" s="27" t="s">
        <v>21</v>
      </c>
      <c r="K239" s="79">
        <f>VLOOKUP(C:C,Sheet2!B:H,7,0)</f>
        <v>79.5</v>
      </c>
      <c r="M239" s="45"/>
    </row>
    <row r="240" spans="1:13" ht="15.75" customHeight="1" x14ac:dyDescent="0.25">
      <c r="A240" s="46" t="s">
        <v>574</v>
      </c>
      <c r="B240" s="4"/>
      <c r="C240" s="5"/>
      <c r="D240" s="54"/>
      <c r="E240" s="5"/>
      <c r="F240" s="5"/>
      <c r="G240" s="5"/>
      <c r="H240" s="9"/>
      <c r="I240" s="29"/>
      <c r="J240" s="27"/>
      <c r="K240" s="79" t="e">
        <f>VLOOKUP(C:C,Sheet2!B:H,7,0)</f>
        <v>#N/A</v>
      </c>
      <c r="M240" s="45"/>
    </row>
    <row r="241" spans="1:13" x14ac:dyDescent="0.25">
      <c r="A241" s="4" t="s">
        <v>575</v>
      </c>
      <c r="B241" s="4" t="s">
        <v>576</v>
      </c>
      <c r="C241" s="5" t="s">
        <v>577</v>
      </c>
      <c r="D241" s="54">
        <v>2.7</v>
      </c>
      <c r="E241" s="5" t="s">
        <v>177</v>
      </c>
      <c r="F241" s="5" t="s">
        <v>312</v>
      </c>
      <c r="G241" s="5" t="s">
        <v>106</v>
      </c>
      <c r="H241" s="9">
        <v>40</v>
      </c>
      <c r="I241" s="29" t="s">
        <v>91</v>
      </c>
      <c r="J241" s="27" t="s">
        <v>39</v>
      </c>
      <c r="K241" s="79">
        <f>VLOOKUP(C:C,Sheet2!B:H,7,0)</f>
        <v>108</v>
      </c>
      <c r="M241" s="45"/>
    </row>
    <row r="242" spans="1:13" ht="15.75" customHeight="1" x14ac:dyDescent="0.25">
      <c r="A242" s="4" t="s">
        <v>578</v>
      </c>
      <c r="B242" s="4" t="s">
        <v>576</v>
      </c>
      <c r="C242" s="5" t="s">
        <v>579</v>
      </c>
      <c r="D242" s="54">
        <v>2.5</v>
      </c>
      <c r="E242" s="5" t="s">
        <v>177</v>
      </c>
      <c r="F242" s="5" t="s">
        <v>312</v>
      </c>
      <c r="G242" s="5" t="s">
        <v>106</v>
      </c>
      <c r="H242" s="9">
        <v>40</v>
      </c>
      <c r="I242" s="29" t="s">
        <v>91</v>
      </c>
      <c r="J242" s="27" t="s">
        <v>39</v>
      </c>
      <c r="K242" s="79">
        <f>VLOOKUP(C:C,Sheet2!B:H,7,0)</f>
        <v>100</v>
      </c>
      <c r="M242" s="45"/>
    </row>
    <row r="243" spans="1:13" ht="15.75" customHeight="1" x14ac:dyDescent="0.25">
      <c r="A243" s="4" t="s">
        <v>580</v>
      </c>
      <c r="B243" s="4" t="s">
        <v>576</v>
      </c>
      <c r="C243" s="5" t="s">
        <v>581</v>
      </c>
      <c r="D243" s="54">
        <v>2.6</v>
      </c>
      <c r="E243" s="5" t="s">
        <v>177</v>
      </c>
      <c r="F243" s="5" t="s">
        <v>312</v>
      </c>
      <c r="G243" s="5" t="s">
        <v>106</v>
      </c>
      <c r="H243" s="9">
        <v>40</v>
      </c>
      <c r="I243" s="29" t="s">
        <v>91</v>
      </c>
      <c r="J243" s="27" t="s">
        <v>39</v>
      </c>
      <c r="K243" s="79">
        <f>VLOOKUP(C:C,Sheet2!B:H,7,0)</f>
        <v>104</v>
      </c>
      <c r="M243" s="45"/>
    </row>
    <row r="244" spans="1:13" ht="15.75" customHeight="1" x14ac:dyDescent="0.25">
      <c r="A244" s="46" t="s">
        <v>582</v>
      </c>
      <c r="B244" s="4"/>
      <c r="C244" s="5"/>
      <c r="D244" s="54"/>
      <c r="E244" s="5"/>
      <c r="F244" s="5"/>
      <c r="G244" s="5"/>
      <c r="H244" s="9"/>
      <c r="I244" s="29"/>
      <c r="J244" s="27"/>
      <c r="K244" s="79" t="e">
        <f>VLOOKUP(C:C,Sheet2!B:H,7,0)</f>
        <v>#N/A</v>
      </c>
      <c r="M244" s="45"/>
    </row>
    <row r="245" spans="1:13" x14ac:dyDescent="0.25">
      <c r="A245" s="4" t="s">
        <v>583</v>
      </c>
      <c r="B245" s="4" t="s">
        <v>584</v>
      </c>
      <c r="C245" s="5" t="s">
        <v>585</v>
      </c>
      <c r="D245" s="54">
        <v>3.6</v>
      </c>
      <c r="E245" s="5" t="s">
        <v>372</v>
      </c>
      <c r="F245" s="5" t="s">
        <v>26</v>
      </c>
      <c r="G245" s="5" t="s">
        <v>106</v>
      </c>
      <c r="H245" s="9">
        <v>30</v>
      </c>
      <c r="I245" s="29" t="s">
        <v>20</v>
      </c>
      <c r="J245" s="27" t="s">
        <v>21</v>
      </c>
      <c r="K245" s="79">
        <f>VLOOKUP(C:C,Sheet2!B:H,7,0)</f>
        <v>108</v>
      </c>
      <c r="M245" s="45"/>
    </row>
    <row r="246" spans="1:13" x14ac:dyDescent="0.25">
      <c r="A246" s="4" t="s">
        <v>586</v>
      </c>
      <c r="B246" s="4" t="s">
        <v>587</v>
      </c>
      <c r="C246" s="5" t="s">
        <v>588</v>
      </c>
      <c r="D246" s="54">
        <v>4.0999999999999996</v>
      </c>
      <c r="E246" s="5" t="s">
        <v>43</v>
      </c>
      <c r="F246" s="5" t="s">
        <v>26</v>
      </c>
      <c r="G246" s="5" t="s">
        <v>106</v>
      </c>
      <c r="H246" s="9">
        <v>30</v>
      </c>
      <c r="I246" s="29" t="s">
        <v>20</v>
      </c>
      <c r="J246" s="27" t="s">
        <v>21</v>
      </c>
      <c r="K246" s="79">
        <f>VLOOKUP(C:C,Sheet2!B:H,7,0)</f>
        <v>123</v>
      </c>
      <c r="M246" s="45"/>
    </row>
    <row r="247" spans="1:13" ht="15.75" customHeight="1" x14ac:dyDescent="0.25">
      <c r="A247" s="4" t="s">
        <v>589</v>
      </c>
      <c r="B247" s="4" t="s">
        <v>590</v>
      </c>
      <c r="C247" s="5" t="s">
        <v>591</v>
      </c>
      <c r="D247" s="54">
        <v>3.6</v>
      </c>
      <c r="E247" s="5" t="s">
        <v>376</v>
      </c>
      <c r="F247" s="5" t="s">
        <v>26</v>
      </c>
      <c r="G247" s="5" t="s">
        <v>106</v>
      </c>
      <c r="H247" s="9">
        <v>33</v>
      </c>
      <c r="I247" s="29" t="s">
        <v>20</v>
      </c>
      <c r="J247" s="27" t="s">
        <v>39</v>
      </c>
      <c r="K247" s="79">
        <f>VLOOKUP(C:C,Sheet2!B:H,7,0)</f>
        <v>118.8</v>
      </c>
      <c r="M247" s="45"/>
    </row>
    <row r="248" spans="1:13" ht="15.75" customHeight="1" x14ac:dyDescent="0.25">
      <c r="A248" s="4" t="s">
        <v>592</v>
      </c>
      <c r="B248" s="4" t="s">
        <v>590</v>
      </c>
      <c r="C248" s="5" t="s">
        <v>593</v>
      </c>
      <c r="D248" s="85">
        <v>3.8</v>
      </c>
      <c r="E248" s="5" t="s">
        <v>376</v>
      </c>
      <c r="F248" s="5" t="s">
        <v>26</v>
      </c>
      <c r="G248" s="5" t="s">
        <v>106</v>
      </c>
      <c r="H248" s="9"/>
      <c r="I248" s="29" t="s">
        <v>20</v>
      </c>
      <c r="J248" s="27" t="s">
        <v>39</v>
      </c>
      <c r="K248" s="79">
        <f>VLOOKUP(C:C,Sheet2!B:H,7,0)</f>
        <v>125.4</v>
      </c>
      <c r="M248" s="45"/>
    </row>
    <row r="249" spans="1:13" ht="15.75" customHeight="1" x14ac:dyDescent="0.25">
      <c r="A249" s="46" t="s">
        <v>594</v>
      </c>
      <c r="B249" s="4"/>
      <c r="C249" s="5"/>
      <c r="D249" s="54"/>
      <c r="E249" s="5"/>
      <c r="F249" s="5"/>
      <c r="G249" s="5"/>
      <c r="H249" s="9"/>
      <c r="I249" s="29"/>
      <c r="J249" s="27"/>
      <c r="K249" s="79" t="e">
        <f>VLOOKUP(C:C,Sheet2!B:H,7,0)</f>
        <v>#N/A</v>
      </c>
      <c r="M249" s="45"/>
    </row>
    <row r="250" spans="1:13" x14ac:dyDescent="0.25">
      <c r="A250" s="4" t="s">
        <v>595</v>
      </c>
      <c r="B250" s="4" t="s">
        <v>596</v>
      </c>
      <c r="C250" s="5" t="s">
        <v>597</v>
      </c>
      <c r="D250" s="54">
        <v>3</v>
      </c>
      <c r="E250" s="5" t="s">
        <v>294</v>
      </c>
      <c r="F250" s="5" t="s">
        <v>26</v>
      </c>
      <c r="G250" s="5" t="s">
        <v>19</v>
      </c>
      <c r="H250" s="9">
        <v>30</v>
      </c>
      <c r="I250" s="29" t="s">
        <v>20</v>
      </c>
      <c r="J250" s="27" t="s">
        <v>21</v>
      </c>
      <c r="K250" s="79">
        <f>VLOOKUP(C:C,Sheet2!B:H,7,0)</f>
        <v>90</v>
      </c>
      <c r="M250" s="45"/>
    </row>
    <row r="251" spans="1:13" ht="15.75" customHeight="1" x14ac:dyDescent="0.25">
      <c r="A251" s="4" t="s">
        <v>598</v>
      </c>
      <c r="B251" s="4" t="s">
        <v>599</v>
      </c>
      <c r="C251" s="5" t="s">
        <v>600</v>
      </c>
      <c r="D251" s="54">
        <v>2.4</v>
      </c>
      <c r="E251" s="5" t="s">
        <v>421</v>
      </c>
      <c r="F251" s="5" t="s">
        <v>38</v>
      </c>
      <c r="G251" s="5" t="s">
        <v>19</v>
      </c>
      <c r="H251" s="9">
        <v>25</v>
      </c>
      <c r="I251" s="29" t="s">
        <v>39</v>
      </c>
      <c r="J251" s="27" t="s">
        <v>39</v>
      </c>
      <c r="K251" s="79">
        <f>VLOOKUP(C:C,Sheet2!B:H,7,0)</f>
        <v>60</v>
      </c>
      <c r="M251" s="45"/>
    </row>
    <row r="252" spans="1:13" ht="15.75" customHeight="1" x14ac:dyDescent="0.25">
      <c r="A252" s="4" t="s">
        <v>601</v>
      </c>
      <c r="B252" s="4" t="s">
        <v>602</v>
      </c>
      <c r="C252" s="5" t="s">
        <v>603</v>
      </c>
      <c r="D252" s="54">
        <v>2.4</v>
      </c>
      <c r="E252" s="5" t="s">
        <v>177</v>
      </c>
      <c r="F252" s="5" t="s">
        <v>18</v>
      </c>
      <c r="G252" s="5" t="s">
        <v>19</v>
      </c>
      <c r="H252" s="9">
        <v>40</v>
      </c>
      <c r="I252" s="29" t="s">
        <v>20</v>
      </c>
      <c r="J252" s="27" t="s">
        <v>39</v>
      </c>
      <c r="K252" s="79">
        <f>VLOOKUP(C:C,Sheet2!B:H,7,0)</f>
        <v>96</v>
      </c>
      <c r="M252" s="45"/>
    </row>
    <row r="253" spans="1:13" ht="15.75" customHeight="1" x14ac:dyDescent="0.25">
      <c r="A253" s="46" t="s">
        <v>604</v>
      </c>
      <c r="B253" s="4"/>
      <c r="C253" s="5"/>
      <c r="D253" s="54"/>
      <c r="E253" s="5"/>
      <c r="F253" s="5"/>
      <c r="G253" s="5"/>
      <c r="H253" s="9"/>
      <c r="I253" s="29"/>
      <c r="J253" s="27"/>
      <c r="K253" s="79" t="e">
        <f>VLOOKUP(C:C,Sheet2!B:H,7,0)</f>
        <v>#N/A</v>
      </c>
      <c r="M253" s="45"/>
    </row>
    <row r="254" spans="1:13" x14ac:dyDescent="0.25">
      <c r="A254" s="4" t="s">
        <v>605</v>
      </c>
      <c r="B254" s="4" t="s">
        <v>606</v>
      </c>
      <c r="C254" s="5" t="s">
        <v>607</v>
      </c>
      <c r="D254" s="54">
        <v>3.85</v>
      </c>
      <c r="E254" s="5" t="s">
        <v>376</v>
      </c>
      <c r="F254" s="5" t="s">
        <v>608</v>
      </c>
      <c r="G254" s="5" t="s">
        <v>19</v>
      </c>
      <c r="H254" s="9">
        <v>33</v>
      </c>
      <c r="I254" s="29" t="s">
        <v>20</v>
      </c>
      <c r="J254" s="27" t="s">
        <v>39</v>
      </c>
      <c r="K254" s="79">
        <f>VLOOKUP(C:C,Sheet2!B:H,7,0)</f>
        <v>127.05</v>
      </c>
      <c r="M254" s="45"/>
    </row>
    <row r="255" spans="1:13" ht="15.75" customHeight="1" x14ac:dyDescent="0.25">
      <c r="A255" s="4" t="s">
        <v>609</v>
      </c>
      <c r="B255" s="4" t="s">
        <v>606</v>
      </c>
      <c r="C255" s="5" t="s">
        <v>610</v>
      </c>
      <c r="D255" s="54">
        <v>3.35</v>
      </c>
      <c r="E255" s="5" t="s">
        <v>376</v>
      </c>
      <c r="F255" s="5" t="s">
        <v>26</v>
      </c>
      <c r="G255" s="5" t="s">
        <v>19</v>
      </c>
      <c r="H255" s="9">
        <v>33</v>
      </c>
      <c r="I255" s="29" t="s">
        <v>20</v>
      </c>
      <c r="J255" s="27" t="s">
        <v>39</v>
      </c>
      <c r="K255" s="79">
        <f>VLOOKUP(C:C,Sheet2!B:H,7,0)</f>
        <v>110.55</v>
      </c>
      <c r="M255" s="45"/>
    </row>
    <row r="256" spans="1:13" ht="15.75" customHeight="1" x14ac:dyDescent="0.25">
      <c r="A256" s="4" t="s">
        <v>611</v>
      </c>
      <c r="B256" s="4" t="s">
        <v>606</v>
      </c>
      <c r="C256" s="5" t="s">
        <v>612</v>
      </c>
      <c r="D256" s="54">
        <v>3.55</v>
      </c>
      <c r="E256" s="5" t="s">
        <v>376</v>
      </c>
      <c r="F256" s="5" t="s">
        <v>61</v>
      </c>
      <c r="G256" s="5" t="s">
        <v>19</v>
      </c>
      <c r="H256" s="9">
        <v>33</v>
      </c>
      <c r="I256" s="29" t="s">
        <v>20</v>
      </c>
      <c r="J256" s="27" t="s">
        <v>39</v>
      </c>
      <c r="K256" s="79">
        <f>VLOOKUP(C:C,Sheet2!B:H,7,0)</f>
        <v>117.15</v>
      </c>
      <c r="M256" s="45"/>
    </row>
    <row r="257" spans="1:13" ht="15.75" customHeight="1" x14ac:dyDescent="0.25">
      <c r="A257" s="46" t="s">
        <v>613</v>
      </c>
      <c r="B257" s="4"/>
      <c r="C257" s="5"/>
      <c r="D257" s="54"/>
      <c r="E257" s="5"/>
      <c r="F257" s="5"/>
      <c r="G257" s="5"/>
      <c r="H257" s="9"/>
      <c r="I257" s="29"/>
      <c r="J257" s="27"/>
      <c r="K257" s="79" t="e">
        <f>VLOOKUP(C:C,Sheet2!B:H,7,0)</f>
        <v>#N/A</v>
      </c>
      <c r="M257" s="45"/>
    </row>
    <row r="258" spans="1:13" x14ac:dyDescent="0.25">
      <c r="A258" s="4" t="s">
        <v>614</v>
      </c>
      <c r="B258" s="4" t="s">
        <v>615</v>
      </c>
      <c r="C258" s="5" t="s">
        <v>616</v>
      </c>
      <c r="D258" s="54">
        <v>2.9</v>
      </c>
      <c r="E258" s="5" t="s">
        <v>177</v>
      </c>
      <c r="F258" s="5" t="s">
        <v>312</v>
      </c>
      <c r="G258" s="5" t="s">
        <v>106</v>
      </c>
      <c r="H258" s="9">
        <v>40</v>
      </c>
      <c r="I258" s="29" t="s">
        <v>91</v>
      </c>
      <c r="J258" s="27" t="s">
        <v>39</v>
      </c>
      <c r="K258" s="79">
        <f>VLOOKUP(C:C,Sheet2!B:H,7,0)</f>
        <v>116</v>
      </c>
      <c r="M258" s="45"/>
    </row>
    <row r="259" spans="1:13" x14ac:dyDescent="0.25">
      <c r="A259" s="4" t="s">
        <v>617</v>
      </c>
      <c r="B259" s="4" t="s">
        <v>615</v>
      </c>
      <c r="C259" s="5" t="s">
        <v>618</v>
      </c>
      <c r="D259" s="54">
        <v>2.8</v>
      </c>
      <c r="E259" s="5" t="s">
        <v>177</v>
      </c>
      <c r="F259" s="5" t="s">
        <v>312</v>
      </c>
      <c r="G259" s="5" t="s">
        <v>106</v>
      </c>
      <c r="H259" s="9">
        <v>40</v>
      </c>
      <c r="I259" s="29" t="s">
        <v>91</v>
      </c>
      <c r="J259" s="27" t="s">
        <v>39</v>
      </c>
      <c r="K259" s="79">
        <f>VLOOKUP(C:C,Sheet2!B:H,7,0)</f>
        <v>112</v>
      </c>
      <c r="M259" s="45"/>
    </row>
    <row r="260" spans="1:13" ht="15.75" customHeight="1" x14ac:dyDescent="0.25">
      <c r="A260" s="4" t="s">
        <v>619</v>
      </c>
      <c r="B260" s="4" t="s">
        <v>615</v>
      </c>
      <c r="C260" s="5" t="s">
        <v>620</v>
      </c>
      <c r="D260" s="54">
        <v>3</v>
      </c>
      <c r="E260" s="5" t="s">
        <v>177</v>
      </c>
      <c r="F260" s="5" t="s">
        <v>312</v>
      </c>
      <c r="G260" s="5" t="s">
        <v>106</v>
      </c>
      <c r="H260" s="9">
        <v>40</v>
      </c>
      <c r="I260" s="29" t="s">
        <v>91</v>
      </c>
      <c r="J260" s="27" t="s">
        <v>39</v>
      </c>
      <c r="K260" s="79">
        <f>VLOOKUP(C:C,Sheet2!B:H,7,0)</f>
        <v>120</v>
      </c>
      <c r="M260" s="45"/>
    </row>
    <row r="261" spans="1:13" ht="15.75" customHeight="1" x14ac:dyDescent="0.25">
      <c r="A261" s="4" t="s">
        <v>621</v>
      </c>
      <c r="B261" s="4" t="s">
        <v>622</v>
      </c>
      <c r="C261" s="5" t="s">
        <v>623</v>
      </c>
      <c r="D261" s="54">
        <v>2.95</v>
      </c>
      <c r="E261" s="5" t="s">
        <v>17</v>
      </c>
      <c r="F261" s="5" t="s">
        <v>26</v>
      </c>
      <c r="G261" s="5" t="s">
        <v>106</v>
      </c>
      <c r="H261" s="9">
        <v>26.25</v>
      </c>
      <c r="I261" s="29" t="s">
        <v>20</v>
      </c>
      <c r="J261" s="27" t="s">
        <v>21</v>
      </c>
      <c r="K261" s="79">
        <f>VLOOKUP(C:C,Sheet2!B:H,7,0)</f>
        <v>88.5</v>
      </c>
      <c r="M261" s="45"/>
    </row>
    <row r="262" spans="1:13" ht="15.75" customHeight="1" x14ac:dyDescent="0.25">
      <c r="A262" s="46" t="s">
        <v>624</v>
      </c>
      <c r="B262" s="4"/>
      <c r="C262" s="5"/>
      <c r="D262" s="54"/>
      <c r="E262" s="5"/>
      <c r="F262" s="5"/>
      <c r="G262" s="5"/>
      <c r="H262" s="9"/>
      <c r="I262" s="29"/>
      <c r="J262" s="27"/>
      <c r="K262" s="79" t="e">
        <f>VLOOKUP(C:C,Sheet2!B:H,7,0)</f>
        <v>#N/A</v>
      </c>
      <c r="M262" s="45"/>
    </row>
    <row r="263" spans="1:13" x14ac:dyDescent="0.25">
      <c r="A263" s="4" t="s">
        <v>625</v>
      </c>
      <c r="B263" s="4" t="s">
        <v>626</v>
      </c>
      <c r="C263" s="5" t="s">
        <v>627</v>
      </c>
      <c r="D263" s="54">
        <v>3.9</v>
      </c>
      <c r="E263" s="5" t="s">
        <v>372</v>
      </c>
      <c r="F263" s="5" t="s">
        <v>61</v>
      </c>
      <c r="G263" s="5" t="s">
        <v>19</v>
      </c>
      <c r="H263" s="9">
        <v>30</v>
      </c>
      <c r="I263" s="29" t="s">
        <v>101</v>
      </c>
      <c r="J263" s="27" t="s">
        <v>21</v>
      </c>
      <c r="K263" s="79">
        <f>VLOOKUP(C:C,Sheet2!B:H,7,0)</f>
        <v>117</v>
      </c>
      <c r="M263" s="45"/>
    </row>
    <row r="264" spans="1:13" ht="15.75" customHeight="1" x14ac:dyDescent="0.25">
      <c r="A264" s="4" t="s">
        <v>628</v>
      </c>
      <c r="B264" s="4" t="s">
        <v>626</v>
      </c>
      <c r="C264" s="5" t="s">
        <v>629</v>
      </c>
      <c r="D264" s="54">
        <v>3.9</v>
      </c>
      <c r="E264" s="5" t="s">
        <v>372</v>
      </c>
      <c r="F264" s="5" t="s">
        <v>61</v>
      </c>
      <c r="G264" s="5" t="s">
        <v>19</v>
      </c>
      <c r="H264" s="9">
        <v>30</v>
      </c>
      <c r="I264" s="29" t="s">
        <v>101</v>
      </c>
      <c r="J264" s="27" t="s">
        <v>21</v>
      </c>
      <c r="K264" s="79">
        <f>VLOOKUP(C:C,Sheet2!B:H,7,0)</f>
        <v>117</v>
      </c>
      <c r="M264" s="45"/>
    </row>
    <row r="265" spans="1:13" ht="15.75" customHeight="1" x14ac:dyDescent="0.25">
      <c r="A265" s="4" t="s">
        <v>630</v>
      </c>
      <c r="B265" s="4" t="s">
        <v>626</v>
      </c>
      <c r="C265" s="5" t="s">
        <v>631</v>
      </c>
      <c r="D265" s="54">
        <v>4.2</v>
      </c>
      <c r="E265" s="5" t="s">
        <v>376</v>
      </c>
      <c r="F265" s="5" t="s">
        <v>61</v>
      </c>
      <c r="G265" s="5" t="s">
        <v>19</v>
      </c>
      <c r="H265" s="9">
        <v>33</v>
      </c>
      <c r="I265" s="29" t="s">
        <v>101</v>
      </c>
      <c r="J265" s="27" t="s">
        <v>21</v>
      </c>
      <c r="K265" s="79">
        <f>VLOOKUP(C:C,Sheet2!B:H,7,0)</f>
        <v>138.6</v>
      </c>
      <c r="M265" s="45"/>
    </row>
    <row r="266" spans="1:13" ht="15.75" customHeight="1" x14ac:dyDescent="0.25">
      <c r="A266" s="46" t="s">
        <v>632</v>
      </c>
      <c r="B266" s="4"/>
      <c r="C266" s="5"/>
      <c r="D266" s="54"/>
      <c r="E266" s="5"/>
      <c r="F266" s="5"/>
      <c r="G266" s="5"/>
      <c r="H266" s="9"/>
      <c r="I266" s="29"/>
      <c r="J266" s="27"/>
      <c r="K266" s="79" t="e">
        <f>VLOOKUP(C:C,Sheet2!B:H,7,0)</f>
        <v>#N/A</v>
      </c>
      <c r="M266" s="45"/>
    </row>
    <row r="267" spans="1:13" x14ac:dyDescent="0.25">
      <c r="A267" s="4" t="s">
        <v>633</v>
      </c>
      <c r="B267" s="4" t="s">
        <v>634</v>
      </c>
      <c r="C267" s="5" t="s">
        <v>635</v>
      </c>
      <c r="D267" s="54">
        <v>3</v>
      </c>
      <c r="E267" s="5" t="s">
        <v>177</v>
      </c>
      <c r="F267" s="5" t="s">
        <v>312</v>
      </c>
      <c r="G267" s="5" t="s">
        <v>106</v>
      </c>
      <c r="H267" s="9">
        <v>40</v>
      </c>
      <c r="I267" s="29" t="s">
        <v>91</v>
      </c>
      <c r="J267" s="27" t="s">
        <v>39</v>
      </c>
      <c r="K267" s="79">
        <f>VLOOKUP(C:C,Sheet2!B:H,7,0)</f>
        <v>120</v>
      </c>
      <c r="M267" s="45"/>
    </row>
    <row r="268" spans="1:13" ht="15.75" customHeight="1" x14ac:dyDescent="0.25">
      <c r="A268" s="4" t="s">
        <v>636</v>
      </c>
      <c r="B268" s="4" t="s">
        <v>634</v>
      </c>
      <c r="C268" s="5" t="s">
        <v>637</v>
      </c>
      <c r="D268" s="54">
        <v>2.95</v>
      </c>
      <c r="E268" s="5" t="s">
        <v>177</v>
      </c>
      <c r="F268" s="5" t="s">
        <v>312</v>
      </c>
      <c r="G268" s="5" t="s">
        <v>106</v>
      </c>
      <c r="H268" s="9">
        <v>40</v>
      </c>
      <c r="I268" s="29" t="s">
        <v>91</v>
      </c>
      <c r="J268" s="27" t="s">
        <v>39</v>
      </c>
      <c r="K268" s="79">
        <f>VLOOKUP(C:C,Sheet2!B:H,7,0)</f>
        <v>118</v>
      </c>
      <c r="M268" s="45"/>
    </row>
    <row r="269" spans="1:13" ht="15.75" customHeight="1" x14ac:dyDescent="0.25">
      <c r="A269" s="4" t="s">
        <v>638</v>
      </c>
      <c r="B269" s="4" t="s">
        <v>634</v>
      </c>
      <c r="C269" s="5" t="s">
        <v>639</v>
      </c>
      <c r="D269" s="54">
        <v>3</v>
      </c>
      <c r="E269" s="5" t="s">
        <v>177</v>
      </c>
      <c r="F269" s="5" t="s">
        <v>312</v>
      </c>
      <c r="G269" s="5" t="s">
        <v>106</v>
      </c>
      <c r="H269" s="9">
        <v>40</v>
      </c>
      <c r="I269" s="29" t="s">
        <v>91</v>
      </c>
      <c r="J269" s="27" t="s">
        <v>39</v>
      </c>
      <c r="K269" s="79">
        <f>VLOOKUP(C:C,Sheet2!B:H,7,0)</f>
        <v>120</v>
      </c>
      <c r="M269" s="45"/>
    </row>
    <row r="270" spans="1:13" ht="15.75" customHeight="1" x14ac:dyDescent="0.25">
      <c r="A270" s="46" t="s">
        <v>640</v>
      </c>
      <c r="B270" s="4"/>
      <c r="C270" s="5"/>
      <c r="D270" s="54"/>
      <c r="E270" s="5"/>
      <c r="F270" s="5"/>
      <c r="G270" s="5"/>
      <c r="H270" s="9"/>
      <c r="I270" s="29"/>
      <c r="J270" s="27"/>
      <c r="K270" s="79" t="e">
        <f>VLOOKUP(C:C,Sheet2!B:H,7,0)</f>
        <v>#N/A</v>
      </c>
      <c r="M270" s="45"/>
    </row>
    <row r="271" spans="1:13" x14ac:dyDescent="0.25">
      <c r="A271" s="4" t="s">
        <v>641</v>
      </c>
      <c r="B271" s="4" t="s">
        <v>642</v>
      </c>
      <c r="C271" s="5" t="s">
        <v>643</v>
      </c>
      <c r="D271" s="54">
        <v>2.5</v>
      </c>
      <c r="E271" s="5" t="s">
        <v>177</v>
      </c>
      <c r="F271" s="5" t="s">
        <v>322</v>
      </c>
      <c r="G271" s="5" t="s">
        <v>106</v>
      </c>
      <c r="H271" s="9">
        <v>40</v>
      </c>
      <c r="I271" s="29" t="s">
        <v>20</v>
      </c>
      <c r="J271" s="27" t="s">
        <v>39</v>
      </c>
      <c r="K271" s="79">
        <f>VLOOKUP(C:C,Sheet2!B:H,7,0)</f>
        <v>100</v>
      </c>
      <c r="M271" s="45"/>
    </row>
    <row r="272" spans="1:13" ht="15.75" customHeight="1" x14ac:dyDescent="0.25">
      <c r="A272" s="4" t="s">
        <v>644</v>
      </c>
      <c r="B272" s="4" t="s">
        <v>642</v>
      </c>
      <c r="C272" s="5" t="s">
        <v>645</v>
      </c>
      <c r="D272" s="54">
        <v>2.6</v>
      </c>
      <c r="E272" s="5" t="s">
        <v>177</v>
      </c>
      <c r="F272" s="5" t="s">
        <v>322</v>
      </c>
      <c r="G272" s="5" t="s">
        <v>106</v>
      </c>
      <c r="H272" s="9">
        <v>40</v>
      </c>
      <c r="I272" s="29" t="s">
        <v>20</v>
      </c>
      <c r="J272" s="27" t="s">
        <v>39</v>
      </c>
      <c r="K272" s="79">
        <f>VLOOKUP(C:C,Sheet2!B:H,7,0)</f>
        <v>104</v>
      </c>
      <c r="M272" s="45"/>
    </row>
    <row r="273" spans="1:13" ht="15.75" customHeight="1" x14ac:dyDescent="0.25">
      <c r="A273" s="4" t="s">
        <v>646</v>
      </c>
      <c r="B273" s="4" t="s">
        <v>642</v>
      </c>
      <c r="C273" s="5" t="s">
        <v>647</v>
      </c>
      <c r="D273" s="54">
        <v>2.6</v>
      </c>
      <c r="E273" s="5" t="s">
        <v>177</v>
      </c>
      <c r="F273" s="5" t="s">
        <v>322</v>
      </c>
      <c r="G273" s="5" t="s">
        <v>106</v>
      </c>
      <c r="H273" s="9">
        <v>40</v>
      </c>
      <c r="I273" s="29" t="s">
        <v>20</v>
      </c>
      <c r="J273" s="27" t="s">
        <v>39</v>
      </c>
      <c r="K273" s="79">
        <f>VLOOKUP(C:C,Sheet2!B:H,7,0)</f>
        <v>104</v>
      </c>
      <c r="M273" s="45"/>
    </row>
    <row r="274" spans="1:13" ht="15.75" customHeight="1" x14ac:dyDescent="0.25">
      <c r="A274" s="46" t="s">
        <v>648</v>
      </c>
      <c r="B274" s="4"/>
      <c r="C274" s="5"/>
      <c r="D274" s="54"/>
      <c r="E274" s="5"/>
      <c r="F274" s="5"/>
      <c r="G274" s="5"/>
      <c r="H274" s="9"/>
      <c r="I274" s="29"/>
      <c r="J274" s="27"/>
      <c r="K274" s="79" t="e">
        <f>VLOOKUP(C:C,Sheet2!B:H,7,0)</f>
        <v>#N/A</v>
      </c>
      <c r="M274" s="45"/>
    </row>
    <row r="275" spans="1:13" x14ac:dyDescent="0.25">
      <c r="A275" s="4" t="s">
        <v>649</v>
      </c>
      <c r="B275" s="4" t="s">
        <v>650</v>
      </c>
      <c r="C275" s="5" t="s">
        <v>651</v>
      </c>
      <c r="D275" s="84" t="s">
        <v>64</v>
      </c>
      <c r="E275" s="5" t="s">
        <v>372</v>
      </c>
      <c r="F275" s="5" t="s">
        <v>26</v>
      </c>
      <c r="G275" s="5" t="s">
        <v>19</v>
      </c>
      <c r="H275" s="9">
        <v>30</v>
      </c>
      <c r="I275" s="29" t="s">
        <v>20</v>
      </c>
      <c r="J275" s="27" t="s">
        <v>21</v>
      </c>
      <c r="K275" s="79" t="e">
        <f>VLOOKUP(C:C,Sheet2!B:H,7,0)</f>
        <v>#N/A</v>
      </c>
      <c r="M275" s="45"/>
    </row>
    <row r="276" spans="1:13" x14ac:dyDescent="0.25">
      <c r="A276" s="4" t="s">
        <v>652</v>
      </c>
      <c r="B276" s="4" t="s">
        <v>653</v>
      </c>
      <c r="C276" s="5" t="s">
        <v>654</v>
      </c>
      <c r="D276" s="54">
        <v>1.8</v>
      </c>
      <c r="E276" s="5" t="s">
        <v>372</v>
      </c>
      <c r="F276" s="5" t="s">
        <v>398</v>
      </c>
      <c r="G276" s="5" t="s">
        <v>19</v>
      </c>
      <c r="H276" s="9">
        <v>30</v>
      </c>
      <c r="I276" s="29" t="s">
        <v>101</v>
      </c>
      <c r="J276" s="27" t="s">
        <v>21</v>
      </c>
      <c r="K276" s="79">
        <f>VLOOKUP(C:C,Sheet2!B:H,7,0)</f>
        <v>54</v>
      </c>
      <c r="M276" s="45"/>
    </row>
    <row r="277" spans="1:13" x14ac:dyDescent="0.25">
      <c r="A277" s="4" t="s">
        <v>655</v>
      </c>
      <c r="B277" s="4" t="s">
        <v>656</v>
      </c>
      <c r="C277" s="5" t="s">
        <v>657</v>
      </c>
      <c r="D277" s="54">
        <v>1.95</v>
      </c>
      <c r="E277" s="5" t="s">
        <v>372</v>
      </c>
      <c r="F277" s="5" t="s">
        <v>52</v>
      </c>
      <c r="G277" s="5" t="s">
        <v>19</v>
      </c>
      <c r="H277" s="9">
        <v>30</v>
      </c>
      <c r="I277" s="29" t="s">
        <v>20</v>
      </c>
      <c r="J277" s="27" t="s">
        <v>21</v>
      </c>
      <c r="K277" s="79">
        <f>VLOOKUP(C:C,Sheet2!B:H,7,0)</f>
        <v>58.5</v>
      </c>
      <c r="M277" s="45"/>
    </row>
    <row r="278" spans="1:13" x14ac:dyDescent="0.25">
      <c r="A278" s="4" t="s">
        <v>658</v>
      </c>
      <c r="B278" s="4" t="s">
        <v>659</v>
      </c>
      <c r="C278" s="5" t="s">
        <v>660</v>
      </c>
      <c r="D278" s="54">
        <v>2</v>
      </c>
      <c r="E278" s="5" t="s">
        <v>372</v>
      </c>
      <c r="F278" s="5" t="s">
        <v>26</v>
      </c>
      <c r="G278" s="5" t="s">
        <v>19</v>
      </c>
      <c r="H278" s="9">
        <v>30</v>
      </c>
      <c r="I278" s="29" t="s">
        <v>20</v>
      </c>
      <c r="J278" s="27" t="s">
        <v>21</v>
      </c>
      <c r="K278" s="79">
        <f>VLOOKUP(C:C,Sheet2!B:H,7,0)</f>
        <v>60</v>
      </c>
      <c r="M278" s="45"/>
    </row>
    <row r="279" spans="1:13" x14ac:dyDescent="0.25">
      <c r="A279" s="4" t="s">
        <v>661</v>
      </c>
      <c r="B279" s="4" t="s">
        <v>662</v>
      </c>
      <c r="C279" s="5" t="s">
        <v>663</v>
      </c>
      <c r="D279" s="54">
        <v>1.8</v>
      </c>
      <c r="E279" s="5" t="s">
        <v>376</v>
      </c>
      <c r="F279" s="5" t="s">
        <v>18</v>
      </c>
      <c r="G279" s="5" t="s">
        <v>19</v>
      </c>
      <c r="H279" s="9">
        <v>33</v>
      </c>
      <c r="I279" s="29" t="s">
        <v>39</v>
      </c>
      <c r="J279" s="27" t="s">
        <v>39</v>
      </c>
      <c r="K279" s="79" t="e">
        <f>VLOOKUP(C:C,Sheet2!B:H,7,0)</f>
        <v>#N/A</v>
      </c>
      <c r="M279" s="45"/>
    </row>
    <row r="280" spans="1:13" ht="15.75" customHeight="1" x14ac:dyDescent="0.25">
      <c r="A280" s="4" t="s">
        <v>664</v>
      </c>
      <c r="B280" s="4" t="s">
        <v>665</v>
      </c>
      <c r="C280" s="5" t="s">
        <v>666</v>
      </c>
      <c r="D280" s="54">
        <v>1.55</v>
      </c>
      <c r="E280" s="5" t="s">
        <v>372</v>
      </c>
      <c r="F280" s="5" t="s">
        <v>18</v>
      </c>
      <c r="G280" s="5" t="s">
        <v>19</v>
      </c>
      <c r="H280" s="9">
        <v>30</v>
      </c>
      <c r="I280" s="29" t="s">
        <v>20</v>
      </c>
      <c r="J280" s="27" t="s">
        <v>21</v>
      </c>
      <c r="K280" s="79">
        <f>VLOOKUP(C:C,Sheet2!B:H,7,0)</f>
        <v>46.5</v>
      </c>
      <c r="M280" s="45"/>
    </row>
    <row r="281" spans="1:13" ht="15.75" customHeight="1" x14ac:dyDescent="0.25">
      <c r="A281" s="4" t="s">
        <v>667</v>
      </c>
      <c r="B281" s="4" t="s">
        <v>668</v>
      </c>
      <c r="C281" s="5" t="s">
        <v>669</v>
      </c>
      <c r="D281" s="54">
        <v>1.8</v>
      </c>
      <c r="E281" s="5" t="s">
        <v>372</v>
      </c>
      <c r="F281" s="5" t="s">
        <v>52</v>
      </c>
      <c r="G281" s="5" t="s">
        <v>19</v>
      </c>
      <c r="H281" s="9">
        <v>30</v>
      </c>
      <c r="I281" s="29" t="s">
        <v>20</v>
      </c>
      <c r="J281" s="27" t="s">
        <v>21</v>
      </c>
      <c r="K281" s="79">
        <f>VLOOKUP(C:C,Sheet2!B:H,7,0)</f>
        <v>54</v>
      </c>
      <c r="M281" s="45"/>
    </row>
    <row r="282" spans="1:13" ht="15.75" customHeight="1" x14ac:dyDescent="0.25">
      <c r="A282" s="46" t="s">
        <v>670</v>
      </c>
      <c r="B282" s="4"/>
      <c r="C282" s="5"/>
      <c r="D282" s="54"/>
      <c r="E282" s="5"/>
      <c r="F282" s="5"/>
      <c r="G282" s="5"/>
      <c r="H282" s="9"/>
      <c r="I282" s="29"/>
      <c r="J282" s="27"/>
      <c r="K282" s="79" t="e">
        <f>VLOOKUP(C:C,Sheet2!B:H,7,0)</f>
        <v>#N/A</v>
      </c>
      <c r="M282" s="45"/>
    </row>
    <row r="283" spans="1:13" ht="15.75" customHeight="1" x14ac:dyDescent="0.25">
      <c r="A283" s="4" t="s">
        <v>671</v>
      </c>
      <c r="B283" s="4" t="s">
        <v>672</v>
      </c>
      <c r="C283" s="5" t="s">
        <v>673</v>
      </c>
      <c r="D283" s="54">
        <v>3.4</v>
      </c>
      <c r="E283" s="5" t="s">
        <v>43</v>
      </c>
      <c r="F283" s="5" t="s">
        <v>100</v>
      </c>
      <c r="G283" s="5" t="s">
        <v>19</v>
      </c>
      <c r="H283" s="9">
        <v>30</v>
      </c>
      <c r="I283" s="29" t="s">
        <v>101</v>
      </c>
      <c r="J283" s="27" t="s">
        <v>21</v>
      </c>
      <c r="K283" s="79">
        <f>VLOOKUP(C:C,Sheet2!B:H,7,0)</f>
        <v>102</v>
      </c>
      <c r="M283" s="45"/>
    </row>
    <row r="284" spans="1:13" ht="15.75" customHeight="1" x14ac:dyDescent="0.25">
      <c r="A284" s="4" t="s">
        <v>674</v>
      </c>
      <c r="B284" s="4" t="s">
        <v>672</v>
      </c>
      <c r="C284" s="5" t="s">
        <v>675</v>
      </c>
      <c r="D284" s="54">
        <v>2.65</v>
      </c>
      <c r="E284" s="5" t="s">
        <v>359</v>
      </c>
      <c r="F284" s="5" t="s">
        <v>219</v>
      </c>
      <c r="G284" s="5" t="s">
        <v>19</v>
      </c>
      <c r="H284" s="9">
        <v>22</v>
      </c>
      <c r="I284" s="29" t="s">
        <v>39</v>
      </c>
      <c r="J284" s="27" t="s">
        <v>39</v>
      </c>
      <c r="K284" s="79">
        <f>VLOOKUP(C:C,Sheet2!B:H,7,0)</f>
        <v>58.3</v>
      </c>
      <c r="M284" s="45"/>
    </row>
    <row r="285" spans="1:13" ht="15.75" customHeight="1" x14ac:dyDescent="0.25">
      <c r="A285" s="46" t="s">
        <v>676</v>
      </c>
      <c r="B285" s="4"/>
      <c r="C285" s="5"/>
      <c r="D285" s="54"/>
      <c r="E285" s="5"/>
      <c r="F285" s="5"/>
      <c r="G285" s="5"/>
      <c r="H285" s="9"/>
      <c r="I285" s="29"/>
      <c r="J285" s="27"/>
      <c r="K285" s="79" t="e">
        <f>VLOOKUP(C:C,Sheet2!B:H,7,0)</f>
        <v>#N/A</v>
      </c>
      <c r="M285" s="45"/>
    </row>
    <row r="286" spans="1:13" x14ac:dyDescent="0.25">
      <c r="A286" s="4" t="s">
        <v>677</v>
      </c>
      <c r="B286" s="4" t="s">
        <v>678</v>
      </c>
      <c r="C286" s="5" t="s">
        <v>679</v>
      </c>
      <c r="D286" s="54">
        <v>5.3</v>
      </c>
      <c r="E286" s="5" t="s">
        <v>376</v>
      </c>
      <c r="F286" s="5" t="s">
        <v>61</v>
      </c>
      <c r="G286" s="5" t="s">
        <v>19</v>
      </c>
      <c r="H286" s="9">
        <v>33</v>
      </c>
      <c r="I286" s="29" t="s">
        <v>20</v>
      </c>
      <c r="J286" s="27" t="s">
        <v>39</v>
      </c>
      <c r="K286" s="79">
        <f>VLOOKUP(C:C,Sheet2!B:H,7,0)</f>
        <v>174.9</v>
      </c>
      <c r="M286" s="45"/>
    </row>
    <row r="287" spans="1:13" x14ac:dyDescent="0.25">
      <c r="A287" s="4" t="s">
        <v>680</v>
      </c>
      <c r="B287" s="4" t="s">
        <v>678</v>
      </c>
      <c r="C287" s="5" t="s">
        <v>681</v>
      </c>
      <c r="D287" s="54">
        <v>5.3</v>
      </c>
      <c r="E287" s="5" t="s">
        <v>376</v>
      </c>
      <c r="F287" s="5" t="s">
        <v>61</v>
      </c>
      <c r="G287" s="5" t="s">
        <v>19</v>
      </c>
      <c r="H287" s="9">
        <v>33</v>
      </c>
      <c r="I287" s="29" t="s">
        <v>20</v>
      </c>
      <c r="J287" s="27" t="s">
        <v>39</v>
      </c>
      <c r="K287" s="79">
        <f>VLOOKUP(C:C,Sheet2!B:H,7,0)</f>
        <v>174.9</v>
      </c>
      <c r="M287" s="45"/>
    </row>
    <row r="288" spans="1:13" x14ac:dyDescent="0.25">
      <c r="A288" s="4" t="s">
        <v>682</v>
      </c>
      <c r="B288" s="4" t="s">
        <v>678</v>
      </c>
      <c r="C288" s="5" t="s">
        <v>683</v>
      </c>
      <c r="D288" s="54">
        <v>5.4</v>
      </c>
      <c r="E288" s="5" t="s">
        <v>376</v>
      </c>
      <c r="F288" s="5" t="s">
        <v>26</v>
      </c>
      <c r="G288" s="5" t="s">
        <v>19</v>
      </c>
      <c r="H288" s="9">
        <v>33</v>
      </c>
      <c r="I288" s="29" t="s">
        <v>20</v>
      </c>
      <c r="J288" s="27" t="s">
        <v>39</v>
      </c>
      <c r="K288" s="79">
        <f>VLOOKUP(C:C,Sheet2!B:H,7,0)</f>
        <v>178.2</v>
      </c>
      <c r="M288" s="45"/>
    </row>
    <row r="289" spans="1:13" x14ac:dyDescent="0.25">
      <c r="A289" s="4" t="s">
        <v>684</v>
      </c>
      <c r="B289" s="4" t="s">
        <v>678</v>
      </c>
      <c r="C289" s="5" t="s">
        <v>685</v>
      </c>
      <c r="D289" s="54">
        <v>5.4</v>
      </c>
      <c r="E289" s="5" t="s">
        <v>376</v>
      </c>
      <c r="F289" s="5" t="s">
        <v>61</v>
      </c>
      <c r="G289" s="5" t="s">
        <v>19</v>
      </c>
      <c r="H289" s="9">
        <v>33</v>
      </c>
      <c r="I289" s="29" t="s">
        <v>20</v>
      </c>
      <c r="J289" s="27" t="s">
        <v>39</v>
      </c>
      <c r="K289" s="79">
        <f>VLOOKUP(C:C,Sheet2!B:H,7,0)</f>
        <v>178.2</v>
      </c>
      <c r="M289" s="45"/>
    </row>
    <row r="290" spans="1:13" ht="15.75" customHeight="1" x14ac:dyDescent="0.25">
      <c r="A290" s="4" t="s">
        <v>686</v>
      </c>
      <c r="B290" s="4" t="s">
        <v>678</v>
      </c>
      <c r="C290" s="5" t="s">
        <v>687</v>
      </c>
      <c r="D290" s="84" t="s">
        <v>64</v>
      </c>
      <c r="E290" s="5" t="s">
        <v>376</v>
      </c>
      <c r="F290" s="5" t="s">
        <v>26</v>
      </c>
      <c r="G290" s="5" t="s">
        <v>19</v>
      </c>
      <c r="H290" s="9"/>
      <c r="I290" s="29" t="s">
        <v>20</v>
      </c>
      <c r="J290" s="27" t="s">
        <v>39</v>
      </c>
      <c r="K290" s="79" t="e">
        <f>VLOOKUP(C:C,Sheet2!B:H,7,0)</f>
        <v>#N/A</v>
      </c>
      <c r="M290" s="45"/>
    </row>
    <row r="291" spans="1:13" ht="15.75" customHeight="1" x14ac:dyDescent="0.25">
      <c r="A291" s="4" t="s">
        <v>688</v>
      </c>
      <c r="B291" s="4" t="s">
        <v>678</v>
      </c>
      <c r="C291" s="5" t="s">
        <v>689</v>
      </c>
      <c r="D291" s="84" t="s">
        <v>64</v>
      </c>
      <c r="E291" s="5" t="s">
        <v>376</v>
      </c>
      <c r="F291" s="5" t="s">
        <v>26</v>
      </c>
      <c r="G291" s="5" t="s">
        <v>19</v>
      </c>
      <c r="H291" s="9"/>
      <c r="I291" s="29" t="s">
        <v>20</v>
      </c>
      <c r="J291" s="27" t="s">
        <v>39</v>
      </c>
      <c r="K291" s="79" t="e">
        <f>VLOOKUP(C:C,Sheet2!B:H,7,0)</f>
        <v>#N/A</v>
      </c>
      <c r="M291" s="45"/>
    </row>
    <row r="292" spans="1:13" ht="15.75" customHeight="1" x14ac:dyDescent="0.25">
      <c r="A292" s="46" t="s">
        <v>690</v>
      </c>
      <c r="B292" s="4"/>
      <c r="C292" s="5"/>
      <c r="D292" s="54"/>
      <c r="E292" s="5"/>
      <c r="F292" s="5"/>
      <c r="G292" s="5"/>
      <c r="H292" s="9"/>
      <c r="I292" s="29"/>
      <c r="J292" s="27"/>
      <c r="K292" s="79" t="e">
        <f>VLOOKUP(C:C,Sheet2!B:H,7,0)</f>
        <v>#N/A</v>
      </c>
      <c r="M292" s="45"/>
    </row>
    <row r="293" spans="1:13" ht="15.75" customHeight="1" x14ac:dyDescent="0.25">
      <c r="A293" s="4" t="s">
        <v>691</v>
      </c>
      <c r="B293" s="4" t="s">
        <v>692</v>
      </c>
      <c r="C293" s="5" t="s">
        <v>693</v>
      </c>
      <c r="D293" s="54">
        <v>2.8</v>
      </c>
      <c r="E293" s="5" t="s">
        <v>376</v>
      </c>
      <c r="F293" s="5" t="s">
        <v>61</v>
      </c>
      <c r="G293" s="5" t="s">
        <v>19</v>
      </c>
      <c r="H293" s="9">
        <v>33</v>
      </c>
      <c r="I293" s="29" t="s">
        <v>20</v>
      </c>
      <c r="J293" s="27" t="s">
        <v>39</v>
      </c>
      <c r="K293" s="79">
        <f>VLOOKUP(C:C,Sheet2!B:H,7,0)</f>
        <v>92.4</v>
      </c>
      <c r="M293" s="45"/>
    </row>
    <row r="294" spans="1:13" ht="15.75" customHeight="1" x14ac:dyDescent="0.25">
      <c r="A294" s="4" t="s">
        <v>694</v>
      </c>
      <c r="B294" s="4" t="s">
        <v>692</v>
      </c>
      <c r="C294" s="5" t="s">
        <v>695</v>
      </c>
      <c r="D294" s="54">
        <v>2.9</v>
      </c>
      <c r="E294" s="5" t="s">
        <v>376</v>
      </c>
      <c r="F294" s="5" t="s">
        <v>61</v>
      </c>
      <c r="G294" s="5" t="s">
        <v>19</v>
      </c>
      <c r="H294" s="9">
        <v>33</v>
      </c>
      <c r="I294" s="29" t="s">
        <v>20</v>
      </c>
      <c r="J294" s="27" t="s">
        <v>39</v>
      </c>
      <c r="K294" s="79">
        <f>VLOOKUP(C:C,Sheet2!B:H,7,0)</f>
        <v>95.7</v>
      </c>
      <c r="M294" s="45"/>
    </row>
    <row r="295" spans="1:13" ht="15.75" customHeight="1" x14ac:dyDescent="0.25">
      <c r="A295" s="46" t="s">
        <v>696</v>
      </c>
      <c r="B295" s="4"/>
      <c r="C295" s="5"/>
      <c r="D295" s="54"/>
      <c r="E295" s="5"/>
      <c r="F295" s="5"/>
      <c r="G295" s="5"/>
      <c r="H295" s="9"/>
      <c r="I295" s="29"/>
      <c r="J295" s="27"/>
      <c r="K295" s="79" t="e">
        <f>VLOOKUP(C:C,Sheet2!B:H,7,0)</f>
        <v>#N/A</v>
      </c>
      <c r="M295" s="45"/>
    </row>
    <row r="296" spans="1:13" x14ac:dyDescent="0.25">
      <c r="A296" s="4" t="s">
        <v>697</v>
      </c>
      <c r="B296" s="4" t="s">
        <v>698</v>
      </c>
      <c r="C296" s="5" t="s">
        <v>699</v>
      </c>
      <c r="D296" s="54">
        <v>3.5</v>
      </c>
      <c r="E296" s="5" t="s">
        <v>372</v>
      </c>
      <c r="F296" s="5" t="s">
        <v>398</v>
      </c>
      <c r="G296" s="5" t="s">
        <v>19</v>
      </c>
      <c r="H296" s="9">
        <v>30</v>
      </c>
      <c r="I296" s="29" t="s">
        <v>20</v>
      </c>
      <c r="J296" s="27" t="s">
        <v>21</v>
      </c>
      <c r="K296" s="79">
        <f>VLOOKUP(C:C,Sheet2!B:H,7,0)</f>
        <v>105</v>
      </c>
      <c r="M296" s="45"/>
    </row>
    <row r="297" spans="1:13" ht="15.75" customHeight="1" x14ac:dyDescent="0.25">
      <c r="A297" s="4" t="s">
        <v>700</v>
      </c>
      <c r="B297" s="4" t="s">
        <v>698</v>
      </c>
      <c r="C297" s="5" t="s">
        <v>701</v>
      </c>
      <c r="D297" s="84" t="s">
        <v>64</v>
      </c>
      <c r="E297" s="5" t="s">
        <v>376</v>
      </c>
      <c r="F297" s="5" t="s">
        <v>398</v>
      </c>
      <c r="G297" s="5" t="s">
        <v>19</v>
      </c>
      <c r="H297" s="9"/>
      <c r="I297" s="29" t="s">
        <v>20</v>
      </c>
      <c r="J297" s="27" t="s">
        <v>39</v>
      </c>
      <c r="K297" s="79" t="e">
        <f>VLOOKUP(C:C,Sheet2!B:H,7,0)</f>
        <v>#N/A</v>
      </c>
      <c r="M297" s="45"/>
    </row>
    <row r="298" spans="1:13" ht="15.75" customHeight="1" x14ac:dyDescent="0.25">
      <c r="A298" s="4" t="s">
        <v>702</v>
      </c>
      <c r="B298" s="4" t="s">
        <v>698</v>
      </c>
      <c r="C298" s="5" t="s">
        <v>703</v>
      </c>
      <c r="D298" s="84" t="s">
        <v>64</v>
      </c>
      <c r="E298" s="5" t="s">
        <v>376</v>
      </c>
      <c r="F298" s="5" t="s">
        <v>398</v>
      </c>
      <c r="G298" s="5" t="s">
        <v>19</v>
      </c>
      <c r="H298" s="9"/>
      <c r="I298" s="29" t="s">
        <v>20</v>
      </c>
      <c r="J298" s="27" t="s">
        <v>39</v>
      </c>
      <c r="K298" s="79" t="e">
        <f>VLOOKUP(C:C,Sheet2!B:H,7,0)</f>
        <v>#N/A</v>
      </c>
      <c r="M298" s="45"/>
    </row>
    <row r="299" spans="1:13" ht="15.75" customHeight="1" x14ac:dyDescent="0.25">
      <c r="A299" s="46" t="s">
        <v>704</v>
      </c>
      <c r="B299" s="4"/>
      <c r="C299" s="5"/>
      <c r="D299" s="54"/>
      <c r="E299" s="5"/>
      <c r="F299" s="5"/>
      <c r="G299" s="5"/>
      <c r="H299" s="9"/>
      <c r="I299" s="29"/>
      <c r="J299" s="27"/>
      <c r="K299" s="79" t="e">
        <f>VLOOKUP(C:C,Sheet2!B:H,7,0)</f>
        <v>#N/A</v>
      </c>
      <c r="M299" s="45"/>
    </row>
    <row r="300" spans="1:13" x14ac:dyDescent="0.25">
      <c r="A300" s="4" t="s">
        <v>705</v>
      </c>
      <c r="B300" s="4" t="s">
        <v>706</v>
      </c>
      <c r="C300" s="5" t="s">
        <v>707</v>
      </c>
      <c r="D300" s="84" t="s">
        <v>64</v>
      </c>
      <c r="E300" s="5" t="s">
        <v>708</v>
      </c>
      <c r="F300" s="5" t="s">
        <v>709</v>
      </c>
      <c r="G300" s="5" t="s">
        <v>19</v>
      </c>
      <c r="H300" s="9">
        <v>44</v>
      </c>
      <c r="I300" s="29" t="s">
        <v>39</v>
      </c>
      <c r="J300" s="27" t="s">
        <v>39</v>
      </c>
      <c r="K300" s="79" t="e">
        <f>VLOOKUP(C:C,Sheet2!B:H,7,0)</f>
        <v>#N/A</v>
      </c>
      <c r="M300" s="45"/>
    </row>
    <row r="301" spans="1:13" ht="15.75" customHeight="1" x14ac:dyDescent="0.25">
      <c r="A301" s="4" t="s">
        <v>710</v>
      </c>
      <c r="B301" s="47" t="s">
        <v>711</v>
      </c>
      <c r="C301" s="5" t="s">
        <v>712</v>
      </c>
      <c r="D301" s="54">
        <v>2.1</v>
      </c>
      <c r="E301" s="5" t="s">
        <v>372</v>
      </c>
      <c r="F301" s="5" t="s">
        <v>26</v>
      </c>
      <c r="G301" s="5" t="s">
        <v>19</v>
      </c>
      <c r="H301" s="9">
        <v>30</v>
      </c>
      <c r="I301" s="29" t="s">
        <v>20</v>
      </c>
      <c r="J301" s="27" t="s">
        <v>21</v>
      </c>
      <c r="K301" s="79">
        <f>VLOOKUP(C:C,Sheet2!B:H,7,0)</f>
        <v>63</v>
      </c>
      <c r="M301" s="45"/>
    </row>
    <row r="302" spans="1:13" ht="15.75" customHeight="1" x14ac:dyDescent="0.25">
      <c r="A302" s="48" t="s">
        <v>713</v>
      </c>
      <c r="B302" s="50" t="s">
        <v>714</v>
      </c>
      <c r="C302" s="49" t="s">
        <v>715</v>
      </c>
      <c r="D302" s="54">
        <v>1.45</v>
      </c>
      <c r="E302" s="5" t="s">
        <v>421</v>
      </c>
      <c r="F302" s="5" t="s">
        <v>422</v>
      </c>
      <c r="G302" s="5" t="s">
        <v>19</v>
      </c>
      <c r="H302" s="9">
        <v>25</v>
      </c>
      <c r="I302" s="29" t="s">
        <v>39</v>
      </c>
      <c r="J302" s="27" t="s">
        <v>39</v>
      </c>
      <c r="K302" s="79">
        <f>VLOOKUP(C:C,Sheet2!B:H,7,0)</f>
        <v>36.25</v>
      </c>
      <c r="M302" s="45"/>
    </row>
    <row r="303" spans="1:13" ht="15.75" customHeight="1" x14ac:dyDescent="0.25">
      <c r="A303" s="46" t="s">
        <v>716</v>
      </c>
      <c r="B303" s="4"/>
      <c r="C303" s="5"/>
      <c r="D303" s="54"/>
      <c r="E303" s="5"/>
      <c r="F303" s="5"/>
      <c r="G303" s="5"/>
      <c r="H303" s="9"/>
      <c r="I303" s="29"/>
      <c r="J303" s="27"/>
      <c r="K303" s="79" t="e">
        <f>VLOOKUP(C:C,Sheet2!B:H,7,0)</f>
        <v>#N/A</v>
      </c>
      <c r="M303" s="45"/>
    </row>
    <row r="304" spans="1:13" x14ac:dyDescent="0.25">
      <c r="A304" s="4" t="s">
        <v>717</v>
      </c>
      <c r="B304" s="4" t="s">
        <v>718</v>
      </c>
      <c r="C304" s="5" t="s">
        <v>719</v>
      </c>
      <c r="D304" s="54">
        <v>3.2</v>
      </c>
      <c r="E304" s="5" t="s">
        <v>17</v>
      </c>
      <c r="F304" s="5" t="s">
        <v>26</v>
      </c>
      <c r="G304" s="5" t="s">
        <v>19</v>
      </c>
      <c r="H304" s="9">
        <v>26.25</v>
      </c>
      <c r="I304" s="29" t="s">
        <v>20</v>
      </c>
      <c r="J304" s="27" t="s">
        <v>21</v>
      </c>
      <c r="K304" s="79">
        <f>VLOOKUP(C:C,Sheet2!B:H,7,0)</f>
        <v>96</v>
      </c>
      <c r="M304" s="45"/>
    </row>
    <row r="305" spans="1:13" x14ac:dyDescent="0.25">
      <c r="A305" s="4" t="s">
        <v>720</v>
      </c>
      <c r="B305" s="4" t="s">
        <v>721</v>
      </c>
      <c r="C305" s="5" t="s">
        <v>722</v>
      </c>
      <c r="D305" s="77">
        <v>3.7</v>
      </c>
      <c r="E305" s="5" t="s">
        <v>723</v>
      </c>
      <c r="F305" s="5" t="s">
        <v>724</v>
      </c>
      <c r="G305" s="5" t="s">
        <v>19</v>
      </c>
      <c r="H305" s="9">
        <v>22</v>
      </c>
      <c r="I305" s="29" t="s">
        <v>39</v>
      </c>
      <c r="J305" s="27" t="s">
        <v>39</v>
      </c>
      <c r="K305" s="79">
        <f>VLOOKUP(C:C,Sheet2!B:H,7,0)</f>
        <v>81.59</v>
      </c>
      <c r="M305" s="45"/>
    </row>
    <row r="306" spans="1:13" x14ac:dyDescent="0.25">
      <c r="A306" s="4" t="s">
        <v>725</v>
      </c>
      <c r="B306" s="4" t="s">
        <v>726</v>
      </c>
      <c r="C306" s="5" t="s">
        <v>727</v>
      </c>
      <c r="D306" s="54">
        <v>3.1</v>
      </c>
      <c r="E306" s="5" t="s">
        <v>17</v>
      </c>
      <c r="F306" s="5" t="s">
        <v>26</v>
      </c>
      <c r="G306" s="5" t="s">
        <v>19</v>
      </c>
      <c r="H306" s="9">
        <v>26.25</v>
      </c>
      <c r="I306" s="29" t="s">
        <v>20</v>
      </c>
      <c r="J306" s="27" t="s">
        <v>21</v>
      </c>
      <c r="K306" s="79">
        <f>VLOOKUP(C:C,Sheet2!B:H,7,0)</f>
        <v>93</v>
      </c>
      <c r="M306" s="45"/>
    </row>
    <row r="307" spans="1:13" x14ac:dyDescent="0.25">
      <c r="A307" s="4" t="s">
        <v>728</v>
      </c>
      <c r="B307" s="4" t="s">
        <v>729</v>
      </c>
      <c r="C307" s="5" t="s">
        <v>730</v>
      </c>
      <c r="D307" s="54">
        <v>4.2</v>
      </c>
      <c r="E307" s="5" t="s">
        <v>17</v>
      </c>
      <c r="F307" s="5" t="s">
        <v>26</v>
      </c>
      <c r="G307" s="5" t="s">
        <v>19</v>
      </c>
      <c r="H307" s="9">
        <v>26.25</v>
      </c>
      <c r="I307" s="29" t="s">
        <v>20</v>
      </c>
      <c r="J307" s="27" t="s">
        <v>21</v>
      </c>
      <c r="K307" s="79">
        <f>VLOOKUP(C:C,Sheet2!B:H,7,0)</f>
        <v>126</v>
      </c>
      <c r="M307" s="45"/>
    </row>
    <row r="308" spans="1:13" x14ac:dyDescent="0.25">
      <c r="A308" s="4" t="s">
        <v>731</v>
      </c>
      <c r="B308" s="4" t="s">
        <v>732</v>
      </c>
      <c r="C308" s="5" t="s">
        <v>733</v>
      </c>
      <c r="D308" s="54">
        <v>2.8</v>
      </c>
      <c r="E308" s="5" t="s">
        <v>372</v>
      </c>
      <c r="F308" s="5" t="s">
        <v>398</v>
      </c>
      <c r="G308" s="5" t="s">
        <v>19</v>
      </c>
      <c r="H308" s="9">
        <v>30</v>
      </c>
      <c r="I308" s="29" t="s">
        <v>20</v>
      </c>
      <c r="J308" s="27" t="s">
        <v>21</v>
      </c>
      <c r="K308" s="79">
        <f>VLOOKUP(C:C,Sheet2!B:H,7,0)</f>
        <v>84</v>
      </c>
      <c r="M308" s="45"/>
    </row>
    <row r="309" spans="1:13" x14ac:dyDescent="0.25">
      <c r="A309" s="4" t="s">
        <v>734</v>
      </c>
      <c r="B309" s="4" t="s">
        <v>735</v>
      </c>
      <c r="C309" s="5" t="s">
        <v>736</v>
      </c>
      <c r="D309" s="54">
        <v>1.6</v>
      </c>
      <c r="E309" s="5" t="s">
        <v>372</v>
      </c>
      <c r="F309" s="5" t="s">
        <v>26</v>
      </c>
      <c r="G309" s="5" t="s">
        <v>19</v>
      </c>
      <c r="H309" s="9">
        <v>30</v>
      </c>
      <c r="I309" s="29" t="s">
        <v>20</v>
      </c>
      <c r="J309" s="27" t="s">
        <v>21</v>
      </c>
      <c r="K309" s="79">
        <f>VLOOKUP(C:C,Sheet2!B:H,7,0)</f>
        <v>48</v>
      </c>
      <c r="M309" s="45"/>
    </row>
    <row r="310" spans="1:13" x14ac:dyDescent="0.25">
      <c r="A310" s="4" t="s">
        <v>737</v>
      </c>
      <c r="B310" s="4" t="s">
        <v>738</v>
      </c>
      <c r="C310" s="5" t="s">
        <v>739</v>
      </c>
      <c r="D310" s="54">
        <v>2.9</v>
      </c>
      <c r="E310" s="5" t="s">
        <v>537</v>
      </c>
      <c r="F310" s="5" t="s">
        <v>26</v>
      </c>
      <c r="G310" s="5" t="s">
        <v>19</v>
      </c>
      <c r="H310" s="9">
        <v>30</v>
      </c>
      <c r="I310" s="29" t="s">
        <v>20</v>
      </c>
      <c r="J310" s="27" t="s">
        <v>21</v>
      </c>
      <c r="K310" s="79">
        <f>VLOOKUP(C:C,Sheet2!B:H,7,0)</f>
        <v>174</v>
      </c>
      <c r="M310" s="45"/>
    </row>
    <row r="311" spans="1:13" x14ac:dyDescent="0.25">
      <c r="A311" s="4" t="s">
        <v>740</v>
      </c>
      <c r="B311" s="4" t="s">
        <v>662</v>
      </c>
      <c r="C311" s="5" t="s">
        <v>741</v>
      </c>
      <c r="D311" s="54">
        <v>3</v>
      </c>
      <c r="E311" s="5" t="s">
        <v>372</v>
      </c>
      <c r="F311" s="5" t="s">
        <v>398</v>
      </c>
      <c r="G311" s="5" t="s">
        <v>19</v>
      </c>
      <c r="H311" s="9">
        <v>30</v>
      </c>
      <c r="I311" s="29" t="s">
        <v>20</v>
      </c>
      <c r="J311" s="27" t="s">
        <v>21</v>
      </c>
      <c r="K311" s="79">
        <f>VLOOKUP(C:C,Sheet2!B:H,7,0)</f>
        <v>90</v>
      </c>
      <c r="M311" s="45"/>
    </row>
    <row r="312" spans="1:13" x14ac:dyDescent="0.25">
      <c r="A312" s="4" t="s">
        <v>742</v>
      </c>
      <c r="B312" s="4" t="e">
        <v>#N/A</v>
      </c>
      <c r="C312" s="5" t="s">
        <v>743</v>
      </c>
      <c r="D312" s="84" t="s">
        <v>64</v>
      </c>
      <c r="E312" s="5" t="s">
        <v>372</v>
      </c>
      <c r="F312" s="5" t="s">
        <v>26</v>
      </c>
      <c r="G312" s="5" t="s">
        <v>19</v>
      </c>
      <c r="H312" s="9"/>
      <c r="I312" s="29" t="s">
        <v>20</v>
      </c>
      <c r="J312" s="27" t="s">
        <v>21</v>
      </c>
      <c r="K312" s="79" t="e">
        <f>VLOOKUP(C:C,Sheet2!B:H,7,0)</f>
        <v>#N/A</v>
      </c>
      <c r="M312" s="45"/>
    </row>
    <row r="313" spans="1:13" x14ac:dyDescent="0.25">
      <c r="A313" s="4" t="s">
        <v>744</v>
      </c>
      <c r="B313" s="4" t="s">
        <v>745</v>
      </c>
      <c r="C313" s="5" t="s">
        <v>746</v>
      </c>
      <c r="D313" s="54">
        <v>2.4</v>
      </c>
      <c r="E313" s="5" t="s">
        <v>372</v>
      </c>
      <c r="F313" s="5" t="s">
        <v>61</v>
      </c>
      <c r="G313" s="5" t="s">
        <v>19</v>
      </c>
      <c r="H313" s="9">
        <v>30</v>
      </c>
      <c r="I313" s="29" t="s">
        <v>20</v>
      </c>
      <c r="J313" s="27" t="s">
        <v>21</v>
      </c>
      <c r="K313" s="79">
        <f>VLOOKUP(C:C,Sheet2!B:H,7,0)</f>
        <v>72</v>
      </c>
      <c r="M313" s="45"/>
    </row>
    <row r="314" spans="1:13" x14ac:dyDescent="0.25">
      <c r="A314" s="4" t="s">
        <v>747</v>
      </c>
      <c r="B314" s="4" t="s">
        <v>748</v>
      </c>
      <c r="C314" s="5" t="s">
        <v>749</v>
      </c>
      <c r="D314" s="54">
        <v>2.2999999999999998</v>
      </c>
      <c r="E314" s="5" t="s">
        <v>17</v>
      </c>
      <c r="F314" s="5" t="s">
        <v>26</v>
      </c>
      <c r="G314" s="5" t="s">
        <v>19</v>
      </c>
      <c r="H314" s="9">
        <v>26.25</v>
      </c>
      <c r="I314" s="29" t="s">
        <v>20</v>
      </c>
      <c r="J314" s="27" t="s">
        <v>21</v>
      </c>
      <c r="K314" s="79">
        <f>VLOOKUP(C:C,Sheet2!B:H,7,0)</f>
        <v>69</v>
      </c>
      <c r="M314" s="45"/>
    </row>
    <row r="315" spans="1:13" x14ac:dyDescent="0.25">
      <c r="A315" s="4" t="s">
        <v>750</v>
      </c>
      <c r="B315" s="47" t="s">
        <v>751</v>
      </c>
      <c r="C315" s="5" t="s">
        <v>752</v>
      </c>
      <c r="D315" s="54">
        <v>3</v>
      </c>
      <c r="E315" s="5" t="s">
        <v>376</v>
      </c>
      <c r="F315" s="5" t="s">
        <v>61</v>
      </c>
      <c r="G315" s="5" t="s">
        <v>19</v>
      </c>
      <c r="H315" s="9">
        <v>33</v>
      </c>
      <c r="I315" s="29" t="s">
        <v>20</v>
      </c>
      <c r="J315" s="27" t="s">
        <v>39</v>
      </c>
      <c r="K315" s="79">
        <f>VLOOKUP(C:C,Sheet2!B:H,7,0)</f>
        <v>99</v>
      </c>
      <c r="M315" s="45"/>
    </row>
    <row r="316" spans="1:13" ht="15.75" customHeight="1" x14ac:dyDescent="0.25">
      <c r="A316" s="48" t="s">
        <v>753</v>
      </c>
      <c r="B316" s="50" t="s">
        <v>754</v>
      </c>
      <c r="C316" s="49" t="s">
        <v>755</v>
      </c>
      <c r="D316" s="54">
        <v>2.1</v>
      </c>
      <c r="E316" s="5" t="s">
        <v>17</v>
      </c>
      <c r="F316" s="5" t="s">
        <v>26</v>
      </c>
      <c r="G316" s="5" t="s">
        <v>19</v>
      </c>
      <c r="H316" s="9">
        <v>26.25</v>
      </c>
      <c r="I316" s="29" t="s">
        <v>20</v>
      </c>
      <c r="J316" s="27" t="s">
        <v>21</v>
      </c>
      <c r="K316" s="79">
        <f>VLOOKUP(C:C,Sheet2!B:H,7,0)</f>
        <v>63</v>
      </c>
      <c r="M316" s="45"/>
    </row>
    <row r="317" spans="1:13" ht="15.75" customHeight="1" x14ac:dyDescent="0.25">
      <c r="B317" s="12"/>
      <c r="D317" s="55"/>
      <c r="I317" s="30"/>
      <c r="K317" s="79" t="e">
        <f>VLOOKUP(C:C,Sheet2!B:H,7,0)</f>
        <v>#N/A</v>
      </c>
      <c r="M317" s="45"/>
    </row>
    <row r="318" spans="1:13" ht="15.75" customHeight="1" x14ac:dyDescent="0.25">
      <c r="A318" s="7" t="s">
        <v>756</v>
      </c>
      <c r="B318" s="7"/>
      <c r="C318" s="7"/>
      <c r="D318" s="46"/>
      <c r="E318" s="7"/>
      <c r="F318" s="7"/>
      <c r="G318" s="7"/>
      <c r="H318" s="7"/>
      <c r="I318" s="32"/>
      <c r="J318" s="32"/>
      <c r="K318" s="79" t="e">
        <f>VLOOKUP(C:C,Sheet2!B:H,7,0)</f>
        <v>#N/A</v>
      </c>
      <c r="M318" s="45"/>
    </row>
    <row r="319" spans="1:13" x14ac:dyDescent="0.25">
      <c r="A319" s="3" t="s">
        <v>4</v>
      </c>
      <c r="B319" s="3" t="s">
        <v>5</v>
      </c>
      <c r="C319" s="3" t="s">
        <v>6</v>
      </c>
      <c r="D319" s="15" t="s">
        <v>7</v>
      </c>
      <c r="E319" s="3" t="s">
        <v>8</v>
      </c>
      <c r="F319" s="3" t="s">
        <v>9</v>
      </c>
      <c r="G319" s="3" t="s">
        <v>10</v>
      </c>
      <c r="H319" s="8" t="s">
        <v>11</v>
      </c>
      <c r="I319" s="15" t="s">
        <v>12</v>
      </c>
      <c r="J319" s="31" t="s">
        <v>13</v>
      </c>
      <c r="K319" s="79" t="e">
        <f>VLOOKUP(C:C,Sheet2!B:H,7,0)</f>
        <v>#N/A</v>
      </c>
      <c r="M319" s="45"/>
    </row>
    <row r="320" spans="1:13" x14ac:dyDescent="0.25">
      <c r="A320" s="4" t="s">
        <v>757</v>
      </c>
      <c r="B320" s="47" t="s">
        <v>758</v>
      </c>
      <c r="C320" s="5" t="s">
        <v>759</v>
      </c>
      <c r="D320" s="54">
        <v>1.6</v>
      </c>
      <c r="E320" s="5" t="s">
        <v>760</v>
      </c>
      <c r="F320" s="5" t="s">
        <v>38</v>
      </c>
      <c r="G320" s="5" t="s">
        <v>106</v>
      </c>
      <c r="H320" s="9">
        <v>9</v>
      </c>
      <c r="I320" s="29" t="s">
        <v>20</v>
      </c>
      <c r="J320" s="27" t="s">
        <v>21</v>
      </c>
      <c r="K320" s="79">
        <f>VLOOKUP(C:C,Sheet2!B:H,7,0)</f>
        <v>57.6</v>
      </c>
      <c r="M320" s="45"/>
    </row>
    <row r="321" spans="1:13" ht="15.75" customHeight="1" x14ac:dyDescent="0.25">
      <c r="A321" s="48" t="s">
        <v>761</v>
      </c>
      <c r="B321" s="50" t="s">
        <v>762</v>
      </c>
      <c r="C321" s="49" t="s">
        <v>763</v>
      </c>
      <c r="D321" s="54">
        <v>13.4</v>
      </c>
      <c r="E321" s="5" t="s">
        <v>764</v>
      </c>
      <c r="F321" s="5" t="s">
        <v>38</v>
      </c>
      <c r="G321" s="5" t="s">
        <v>106</v>
      </c>
      <c r="H321" s="9">
        <v>24</v>
      </c>
      <c r="I321" s="29" t="s">
        <v>20</v>
      </c>
      <c r="J321" s="27" t="s">
        <v>39</v>
      </c>
      <c r="K321" s="79">
        <f>VLOOKUP(C:C,Sheet2!B:H,7,0)</f>
        <v>321.60000000000002</v>
      </c>
      <c r="M321" s="45"/>
    </row>
    <row r="322" spans="1:13" ht="15.75" customHeight="1" x14ac:dyDescent="0.25">
      <c r="B322" s="12"/>
      <c r="D322" s="55"/>
      <c r="I322" s="30"/>
      <c r="K322" s="79" t="e">
        <f>VLOOKUP(C:C,Sheet2!B:H,7,0)</f>
        <v>#N/A</v>
      </c>
      <c r="M322" s="45"/>
    </row>
    <row r="323" spans="1:13" ht="15.75" customHeight="1" x14ac:dyDescent="0.25">
      <c r="A323" s="46" t="s">
        <v>765</v>
      </c>
      <c r="B323" s="7"/>
      <c r="C323" s="7"/>
      <c r="D323" s="46"/>
      <c r="E323" s="7"/>
      <c r="F323" s="7"/>
      <c r="G323" s="7"/>
      <c r="H323" s="7"/>
      <c r="I323" s="32"/>
      <c r="J323" s="32"/>
      <c r="K323" s="79" t="e">
        <f>VLOOKUP(C:C,Sheet2!B:H,7,0)</f>
        <v>#N/A</v>
      </c>
      <c r="M323" s="45"/>
    </row>
    <row r="324" spans="1:13" x14ac:dyDescent="0.25">
      <c r="A324" s="34" t="s">
        <v>4</v>
      </c>
      <c r="B324" s="3" t="s">
        <v>5</v>
      </c>
      <c r="C324" s="34" t="s">
        <v>6</v>
      </c>
      <c r="D324" s="35" t="s">
        <v>7</v>
      </c>
      <c r="E324" s="34" t="s">
        <v>8</v>
      </c>
      <c r="F324" s="34" t="s">
        <v>9</v>
      </c>
      <c r="G324" s="34" t="s">
        <v>10</v>
      </c>
      <c r="H324" s="36" t="s">
        <v>11</v>
      </c>
      <c r="I324" s="35" t="s">
        <v>12</v>
      </c>
      <c r="J324" s="37" t="s">
        <v>13</v>
      </c>
      <c r="K324" s="79" t="e">
        <f>VLOOKUP(C:C,Sheet2!B:H,7,0)</f>
        <v>#N/A</v>
      </c>
      <c r="M324" s="45"/>
    </row>
    <row r="325" spans="1:13" x14ac:dyDescent="0.25">
      <c r="A325" s="44" t="s">
        <v>766</v>
      </c>
      <c r="B325" s="4" t="s">
        <v>767</v>
      </c>
      <c r="C325" s="43" t="s">
        <v>768</v>
      </c>
      <c r="D325" s="85">
        <v>4</v>
      </c>
      <c r="E325" s="43" t="s">
        <v>37</v>
      </c>
      <c r="F325" s="43" t="s">
        <v>26</v>
      </c>
      <c r="G325" s="39" t="s">
        <v>19</v>
      </c>
      <c r="H325" s="43"/>
      <c r="I325" s="25" t="s">
        <v>39</v>
      </c>
      <c r="J325" s="27" t="s">
        <v>39</v>
      </c>
      <c r="K325" s="79">
        <f>VLOOKUP(C:C,Sheet2!B:H,7,0)</f>
        <v>88</v>
      </c>
      <c r="M325" s="45"/>
    </row>
    <row r="326" spans="1:13" x14ac:dyDescent="0.25">
      <c r="A326" s="38" t="s">
        <v>769</v>
      </c>
      <c r="B326" s="4" t="s">
        <v>770</v>
      </c>
      <c r="C326" s="39" t="s">
        <v>771</v>
      </c>
      <c r="D326" s="57">
        <v>6.4</v>
      </c>
      <c r="E326" s="39" t="s">
        <v>772</v>
      </c>
      <c r="F326" s="39" t="s">
        <v>26</v>
      </c>
      <c r="G326" s="39" t="s">
        <v>19</v>
      </c>
      <c r="H326" s="40">
        <v>10</v>
      </c>
      <c r="I326" s="41" t="s">
        <v>20</v>
      </c>
      <c r="J326" s="42" t="s">
        <v>21</v>
      </c>
      <c r="K326" s="79">
        <f>VLOOKUP(C:C,Sheet2!B:H,7,0)</f>
        <v>128</v>
      </c>
      <c r="M326" s="45"/>
    </row>
    <row r="327" spans="1:13" x14ac:dyDescent="0.25">
      <c r="A327" s="4" t="s">
        <v>773</v>
      </c>
      <c r="B327" s="4" t="s">
        <v>774</v>
      </c>
      <c r="C327" s="5" t="s">
        <v>775</v>
      </c>
      <c r="D327" s="54">
        <v>4.95</v>
      </c>
      <c r="E327" s="5" t="s">
        <v>299</v>
      </c>
      <c r="F327" s="5" t="s">
        <v>26</v>
      </c>
      <c r="G327" s="5" t="s">
        <v>19</v>
      </c>
      <c r="H327" s="9">
        <v>10</v>
      </c>
      <c r="I327" s="29" t="s">
        <v>39</v>
      </c>
      <c r="J327" s="27" t="s">
        <v>39</v>
      </c>
      <c r="K327" s="79">
        <f>VLOOKUP(C:C,Sheet2!B:H,7,0)</f>
        <v>49.5</v>
      </c>
      <c r="M327" s="45"/>
    </row>
    <row r="328" spans="1:13" x14ac:dyDescent="0.25">
      <c r="A328" s="4" t="s">
        <v>776</v>
      </c>
      <c r="B328" s="4" t="s">
        <v>777</v>
      </c>
      <c r="C328" s="5" t="s">
        <v>778</v>
      </c>
      <c r="D328" s="54">
        <v>6.8</v>
      </c>
      <c r="E328" s="5" t="s">
        <v>37</v>
      </c>
      <c r="F328" s="5" t="s">
        <v>26</v>
      </c>
      <c r="G328" s="5" t="s">
        <v>19</v>
      </c>
      <c r="H328" s="9">
        <v>22</v>
      </c>
      <c r="I328" s="29" t="s">
        <v>39</v>
      </c>
      <c r="J328" s="27" t="s">
        <v>39</v>
      </c>
      <c r="K328" s="79">
        <f>VLOOKUP(C:C,Sheet2!B:H,7,0)</f>
        <v>149.6</v>
      </c>
      <c r="M328" s="45"/>
    </row>
    <row r="329" spans="1:13" x14ac:dyDescent="0.25">
      <c r="A329" s="4" t="s">
        <v>779</v>
      </c>
      <c r="B329" s="4" t="s">
        <v>780</v>
      </c>
      <c r="C329" s="5" t="s">
        <v>781</v>
      </c>
      <c r="D329" s="54">
        <v>7.5</v>
      </c>
      <c r="E329" s="5" t="s">
        <v>299</v>
      </c>
      <c r="F329" s="5" t="s">
        <v>26</v>
      </c>
      <c r="G329" s="5" t="s">
        <v>19</v>
      </c>
      <c r="H329" s="9">
        <v>10</v>
      </c>
      <c r="I329" s="29" t="s">
        <v>39</v>
      </c>
      <c r="J329" s="27" t="s">
        <v>39</v>
      </c>
      <c r="K329" s="79">
        <f>VLOOKUP(C:C,Sheet2!B:H,7,0)</f>
        <v>75</v>
      </c>
      <c r="M329" s="45"/>
    </row>
    <row r="330" spans="1:13" x14ac:dyDescent="0.25">
      <c r="A330" s="4" t="s">
        <v>782</v>
      </c>
      <c r="B330" s="4" t="s">
        <v>783</v>
      </c>
      <c r="C330" s="5" t="s">
        <v>784</v>
      </c>
      <c r="D330" s="54">
        <v>3.8</v>
      </c>
      <c r="E330" s="5" t="s">
        <v>772</v>
      </c>
      <c r="F330" s="5" t="s">
        <v>26</v>
      </c>
      <c r="G330" s="5" t="s">
        <v>19</v>
      </c>
      <c r="H330" s="9">
        <v>10</v>
      </c>
      <c r="I330" s="29" t="s">
        <v>20</v>
      </c>
      <c r="J330" s="27" t="s">
        <v>21</v>
      </c>
      <c r="K330" s="79">
        <f>VLOOKUP(C:C,Sheet2!B:H,7,0)</f>
        <v>76</v>
      </c>
      <c r="M330" s="45"/>
    </row>
    <row r="331" spans="1:13" x14ac:dyDescent="0.25">
      <c r="A331" s="4" t="s">
        <v>785</v>
      </c>
      <c r="B331" s="4" t="s">
        <v>786</v>
      </c>
      <c r="C331" s="5" t="s">
        <v>787</v>
      </c>
      <c r="D331" s="54">
        <v>5</v>
      </c>
      <c r="E331" s="5" t="s">
        <v>376</v>
      </c>
      <c r="F331" s="5" t="s">
        <v>26</v>
      </c>
      <c r="G331" s="5" t="s">
        <v>106</v>
      </c>
      <c r="H331" s="9">
        <v>33</v>
      </c>
      <c r="I331" s="29" t="s">
        <v>20</v>
      </c>
      <c r="J331" s="27" t="s">
        <v>39</v>
      </c>
      <c r="K331" s="79">
        <f>VLOOKUP(C:C,Sheet2!B:H,7,0)</f>
        <v>165</v>
      </c>
      <c r="M331" s="45"/>
    </row>
    <row r="332" spans="1:13" x14ac:dyDescent="0.25">
      <c r="A332" s="4" t="s">
        <v>788</v>
      </c>
      <c r="B332" s="4" t="s">
        <v>789</v>
      </c>
      <c r="C332" s="5" t="s">
        <v>790</v>
      </c>
      <c r="D332" s="54">
        <v>3.5</v>
      </c>
      <c r="E332" s="5" t="s">
        <v>791</v>
      </c>
      <c r="F332" s="5" t="s">
        <v>26</v>
      </c>
      <c r="G332" s="5" t="s">
        <v>106</v>
      </c>
      <c r="H332" s="9">
        <v>37.5</v>
      </c>
      <c r="I332" s="29" t="s">
        <v>20</v>
      </c>
      <c r="J332" s="27" t="s">
        <v>21</v>
      </c>
      <c r="K332" s="79">
        <f>VLOOKUP(C:C,Sheet2!B:H,7,0)</f>
        <v>210</v>
      </c>
      <c r="M332" s="45"/>
    </row>
    <row r="333" spans="1:13" x14ac:dyDescent="0.25">
      <c r="A333" s="4" t="s">
        <v>792</v>
      </c>
      <c r="B333" s="4" t="s">
        <v>793</v>
      </c>
      <c r="C333" s="5" t="s">
        <v>794</v>
      </c>
      <c r="D333" s="54">
        <v>2</v>
      </c>
      <c r="E333" s="5" t="s">
        <v>795</v>
      </c>
      <c r="F333" s="5" t="s">
        <v>26</v>
      </c>
      <c r="G333" s="5" t="s">
        <v>19</v>
      </c>
      <c r="H333" s="9">
        <v>15</v>
      </c>
      <c r="I333" s="29" t="s">
        <v>101</v>
      </c>
      <c r="J333" s="27" t="s">
        <v>21</v>
      </c>
      <c r="K333" s="79">
        <f>VLOOKUP(C:C,Sheet2!B:H,7,0)</f>
        <v>160</v>
      </c>
      <c r="M333" s="45"/>
    </row>
    <row r="334" spans="1:13" x14ac:dyDescent="0.25">
      <c r="A334" s="4" t="s">
        <v>796</v>
      </c>
      <c r="B334" s="4" t="s">
        <v>793</v>
      </c>
      <c r="C334" s="5" t="s">
        <v>797</v>
      </c>
      <c r="D334" s="54">
        <v>1.8</v>
      </c>
      <c r="E334" s="5" t="s">
        <v>795</v>
      </c>
      <c r="F334" s="5" t="s">
        <v>26</v>
      </c>
      <c r="G334" s="5" t="s">
        <v>19</v>
      </c>
      <c r="H334" s="9">
        <v>15</v>
      </c>
      <c r="I334" s="29" t="s">
        <v>101</v>
      </c>
      <c r="J334" s="27" t="s">
        <v>21</v>
      </c>
      <c r="K334" s="79">
        <f>VLOOKUP(C:C,Sheet2!B:H,7,0)</f>
        <v>144</v>
      </c>
      <c r="M334" s="45"/>
    </row>
    <row r="335" spans="1:13" x14ac:dyDescent="0.25">
      <c r="A335" s="4" t="s">
        <v>798</v>
      </c>
      <c r="B335" s="4" t="s">
        <v>799</v>
      </c>
      <c r="C335" s="5" t="s">
        <v>800</v>
      </c>
      <c r="D335" s="54">
        <v>3.7</v>
      </c>
      <c r="E335" s="5" t="s">
        <v>160</v>
      </c>
      <c r="F335" s="5" t="s">
        <v>26</v>
      </c>
      <c r="G335" s="5" t="s">
        <v>19</v>
      </c>
      <c r="H335" s="9">
        <v>24</v>
      </c>
      <c r="I335" s="29" t="s">
        <v>161</v>
      </c>
      <c r="J335" s="27" t="s">
        <v>21</v>
      </c>
      <c r="K335" s="79">
        <f>VLOOKUP(C:C,Sheet2!B:H,7,0)</f>
        <v>88.8</v>
      </c>
      <c r="M335" s="45"/>
    </row>
    <row r="336" spans="1:13" x14ac:dyDescent="0.25">
      <c r="A336" s="4" t="s">
        <v>801</v>
      </c>
      <c r="B336" s="4" t="s">
        <v>802</v>
      </c>
      <c r="C336" s="5" t="s">
        <v>803</v>
      </c>
      <c r="D336" s="54">
        <v>2.35</v>
      </c>
      <c r="E336" s="5" t="s">
        <v>284</v>
      </c>
      <c r="F336" s="5" t="s">
        <v>26</v>
      </c>
      <c r="G336" s="5" t="s">
        <v>19</v>
      </c>
      <c r="H336" s="9">
        <v>22.5</v>
      </c>
      <c r="I336" s="29" t="s">
        <v>101</v>
      </c>
      <c r="J336" s="27" t="s">
        <v>21</v>
      </c>
      <c r="K336" s="79">
        <f>VLOOKUP(C:C,Sheet2!B:H,7,0)</f>
        <v>70.5</v>
      </c>
      <c r="M336" s="45"/>
    </row>
    <row r="337" spans="1:13" x14ac:dyDescent="0.25">
      <c r="A337" s="4" t="s">
        <v>804</v>
      </c>
      <c r="B337" s="4" t="s">
        <v>805</v>
      </c>
      <c r="C337" s="5" t="s">
        <v>806</v>
      </c>
      <c r="D337" s="54">
        <v>3.6</v>
      </c>
      <c r="E337" s="5" t="s">
        <v>160</v>
      </c>
      <c r="F337" s="5" t="s">
        <v>26</v>
      </c>
      <c r="G337" s="5" t="s">
        <v>19</v>
      </c>
      <c r="H337" s="9">
        <v>18</v>
      </c>
      <c r="I337" s="29" t="s">
        <v>161</v>
      </c>
      <c r="J337" s="27" t="s">
        <v>21</v>
      </c>
      <c r="K337" s="79">
        <f>VLOOKUP(C:C,Sheet2!B:H,7,0)</f>
        <v>86.4</v>
      </c>
      <c r="M337" s="45"/>
    </row>
    <row r="338" spans="1:13" x14ac:dyDescent="0.25">
      <c r="A338" s="4" t="s">
        <v>807</v>
      </c>
      <c r="B338" s="4" t="s">
        <v>808</v>
      </c>
      <c r="C338" s="5" t="s">
        <v>809</v>
      </c>
      <c r="D338" s="54">
        <v>5.4</v>
      </c>
      <c r="E338" s="5" t="s">
        <v>284</v>
      </c>
      <c r="F338" s="5" t="s">
        <v>26</v>
      </c>
      <c r="G338" s="5" t="s">
        <v>106</v>
      </c>
      <c r="H338" s="9">
        <v>22.5</v>
      </c>
      <c r="I338" s="29" t="s">
        <v>20</v>
      </c>
      <c r="J338" s="27" t="s">
        <v>21</v>
      </c>
      <c r="K338" s="79">
        <f>VLOOKUP(C:C,Sheet2!B:H,7,0)</f>
        <v>162</v>
      </c>
      <c r="M338" s="45"/>
    </row>
    <row r="339" spans="1:13" x14ac:dyDescent="0.25">
      <c r="A339" s="4" t="s">
        <v>810</v>
      </c>
      <c r="B339" s="4" t="s">
        <v>811</v>
      </c>
      <c r="C339" s="5" t="s">
        <v>812</v>
      </c>
      <c r="D339" s="54">
        <v>5.6</v>
      </c>
      <c r="E339" s="5" t="s">
        <v>177</v>
      </c>
      <c r="F339" s="5" t="s">
        <v>26</v>
      </c>
      <c r="G339" s="5" t="s">
        <v>19</v>
      </c>
      <c r="H339" s="9">
        <v>40</v>
      </c>
      <c r="I339" s="29" t="s">
        <v>20</v>
      </c>
      <c r="J339" s="27" t="s">
        <v>39</v>
      </c>
      <c r="K339" s="79">
        <f>VLOOKUP(C:C,Sheet2!B:H,7,0)</f>
        <v>224</v>
      </c>
      <c r="M339" s="45"/>
    </row>
    <row r="340" spans="1:13" x14ac:dyDescent="0.25">
      <c r="A340" s="4" t="s">
        <v>813</v>
      </c>
      <c r="B340" s="4" t="s">
        <v>814</v>
      </c>
      <c r="C340" s="5" t="s">
        <v>815</v>
      </c>
      <c r="D340" s="54">
        <v>2.2000000000000002</v>
      </c>
      <c r="E340" s="5" t="s">
        <v>151</v>
      </c>
      <c r="F340" s="5" t="s">
        <v>26</v>
      </c>
      <c r="G340" s="5" t="s">
        <v>19</v>
      </c>
      <c r="H340" s="9">
        <v>24</v>
      </c>
      <c r="I340" s="29" t="s">
        <v>161</v>
      </c>
      <c r="J340" s="27" t="s">
        <v>21</v>
      </c>
      <c r="K340" s="79">
        <f>VLOOKUP(C:C,Sheet2!B:H,7,0)</f>
        <v>52.8</v>
      </c>
      <c r="M340" s="45"/>
    </row>
    <row r="341" spans="1:13" ht="13.5" customHeight="1" x14ac:dyDescent="0.25">
      <c r="A341" s="4" t="s">
        <v>816</v>
      </c>
      <c r="B341" s="47" t="s">
        <v>817</v>
      </c>
      <c r="C341" s="5" t="s">
        <v>818</v>
      </c>
      <c r="D341" s="54">
        <v>8.6999999999999993</v>
      </c>
      <c r="E341" s="5" t="s">
        <v>177</v>
      </c>
      <c r="F341" s="5" t="s">
        <v>26</v>
      </c>
      <c r="G341" s="5" t="s">
        <v>19</v>
      </c>
      <c r="H341" s="9">
        <v>40</v>
      </c>
      <c r="I341" s="29" t="s">
        <v>20</v>
      </c>
      <c r="J341" s="27" t="s">
        <v>39</v>
      </c>
      <c r="K341" s="79">
        <f>VLOOKUP(C:C,Sheet2!B:H,7,0)</f>
        <v>348</v>
      </c>
      <c r="M341" s="45"/>
    </row>
    <row r="342" spans="1:13" ht="15.75" customHeight="1" x14ac:dyDescent="0.25">
      <c r="A342" s="48" t="s">
        <v>819</v>
      </c>
      <c r="B342" s="50" t="s">
        <v>820</v>
      </c>
      <c r="C342" s="49" t="s">
        <v>821</v>
      </c>
      <c r="D342" s="54">
        <v>1.9</v>
      </c>
      <c r="E342" s="5" t="s">
        <v>822</v>
      </c>
      <c r="F342" s="5" t="s">
        <v>312</v>
      </c>
      <c r="G342" s="5" t="s">
        <v>19</v>
      </c>
      <c r="H342" s="9">
        <v>8.8000000000000007</v>
      </c>
      <c r="I342" s="29" t="s">
        <v>20</v>
      </c>
      <c r="J342" s="27" t="s">
        <v>21</v>
      </c>
      <c r="K342" s="79">
        <f>VLOOKUP(C:C,Sheet2!B:H,7,0)</f>
        <v>41.8</v>
      </c>
      <c r="M342" s="45"/>
    </row>
    <row r="343" spans="1:13" ht="15.75" customHeight="1" x14ac:dyDescent="0.25">
      <c r="B343" s="12"/>
      <c r="D343" s="55"/>
      <c r="I343" s="30"/>
      <c r="K343" s="79" t="e">
        <f>VLOOKUP(C:C,Sheet2!B:H,7,0)</f>
        <v>#N/A</v>
      </c>
      <c r="M343" s="45"/>
    </row>
    <row r="344" spans="1:13" ht="15.75" customHeight="1" x14ac:dyDescent="0.25">
      <c r="A344" s="7" t="s">
        <v>823</v>
      </c>
      <c r="B344" s="7"/>
      <c r="C344" s="7"/>
      <c r="D344" s="46"/>
      <c r="E344" s="7"/>
      <c r="F344" s="7"/>
      <c r="G344" s="7"/>
      <c r="H344" s="7"/>
      <c r="I344" s="32"/>
      <c r="J344" s="32"/>
      <c r="K344" s="79" t="e">
        <f>VLOOKUP(C:C,Sheet2!B:H,7,0)</f>
        <v>#N/A</v>
      </c>
      <c r="M344" s="45"/>
    </row>
    <row r="345" spans="1:13" x14ac:dyDescent="0.25">
      <c r="A345" s="3" t="s">
        <v>4</v>
      </c>
      <c r="B345" s="3" t="s">
        <v>5</v>
      </c>
      <c r="C345" s="3" t="s">
        <v>6</v>
      </c>
      <c r="D345" s="15" t="s">
        <v>7</v>
      </c>
      <c r="E345" s="3" t="s">
        <v>8</v>
      </c>
      <c r="F345" s="3" t="s">
        <v>9</v>
      </c>
      <c r="G345" s="3" t="s">
        <v>10</v>
      </c>
      <c r="H345" s="8" t="s">
        <v>11</v>
      </c>
      <c r="I345" s="15" t="s">
        <v>12</v>
      </c>
      <c r="J345" s="31" t="s">
        <v>13</v>
      </c>
      <c r="K345" s="79" t="e">
        <f>VLOOKUP(C:C,Sheet2!B:H,7,0)</f>
        <v>#N/A</v>
      </c>
      <c r="M345" s="45"/>
    </row>
    <row r="346" spans="1:13" x14ac:dyDescent="0.25">
      <c r="A346" s="4" t="s">
        <v>824</v>
      </c>
      <c r="B346" s="4" t="s">
        <v>825</v>
      </c>
      <c r="C346" s="5" t="s">
        <v>826</v>
      </c>
      <c r="D346" s="54">
        <v>2.8</v>
      </c>
      <c r="E346" s="5" t="s">
        <v>17</v>
      </c>
      <c r="F346" s="5" t="s">
        <v>26</v>
      </c>
      <c r="G346" s="5" t="s">
        <v>19</v>
      </c>
      <c r="H346" s="9">
        <v>26.25</v>
      </c>
      <c r="I346" s="29" t="s">
        <v>20</v>
      </c>
      <c r="J346" s="27" t="s">
        <v>21</v>
      </c>
      <c r="K346" s="79">
        <f>VLOOKUP(C:C,Sheet2!B:H,7,0)</f>
        <v>84</v>
      </c>
      <c r="M346" s="45"/>
    </row>
    <row r="347" spans="1:13" x14ac:dyDescent="0.25">
      <c r="A347" s="4" t="s">
        <v>827</v>
      </c>
      <c r="B347" s="47" t="s">
        <v>828</v>
      </c>
      <c r="C347" s="5" t="s">
        <v>829</v>
      </c>
      <c r="D347" s="54">
        <v>2.5499999999999998</v>
      </c>
      <c r="E347" s="5" t="s">
        <v>17</v>
      </c>
      <c r="F347" s="5" t="s">
        <v>26</v>
      </c>
      <c r="G347" s="5" t="s">
        <v>19</v>
      </c>
      <c r="H347" s="9">
        <v>26.25</v>
      </c>
      <c r="I347" s="29" t="s">
        <v>20</v>
      </c>
      <c r="J347" s="27" t="s">
        <v>21</v>
      </c>
      <c r="K347" s="79">
        <f>VLOOKUP(C:C,Sheet2!B:H,7,0)</f>
        <v>76.5</v>
      </c>
      <c r="M347" s="45"/>
    </row>
    <row r="348" spans="1:13" ht="15.75" customHeight="1" x14ac:dyDescent="0.25">
      <c r="A348" s="48" t="s">
        <v>830</v>
      </c>
      <c r="B348" s="50" t="s">
        <v>831</v>
      </c>
      <c r="C348" s="49" t="s">
        <v>832</v>
      </c>
      <c r="D348" s="54">
        <v>2.8</v>
      </c>
      <c r="E348" s="5" t="s">
        <v>17</v>
      </c>
      <c r="F348" s="5" t="s">
        <v>26</v>
      </c>
      <c r="G348" s="5" t="s">
        <v>19</v>
      </c>
      <c r="H348" s="9">
        <v>26.25</v>
      </c>
      <c r="I348" s="29" t="s">
        <v>20</v>
      </c>
      <c r="J348" s="27" t="s">
        <v>21</v>
      </c>
      <c r="K348" s="79">
        <f>VLOOKUP(C:C,Sheet2!B:H,7,0)</f>
        <v>84</v>
      </c>
      <c r="M348" s="45"/>
    </row>
    <row r="349" spans="1:13" ht="15.75" customHeight="1" x14ac:dyDescent="0.25">
      <c r="A349" s="12"/>
      <c r="B349" s="12"/>
      <c r="C349" s="13"/>
      <c r="D349" s="55"/>
      <c r="E349" s="13"/>
      <c r="F349" s="13"/>
      <c r="G349" s="13"/>
      <c r="H349" s="14"/>
      <c r="I349" s="30"/>
      <c r="K349" s="79" t="e">
        <f>VLOOKUP(C:C,Sheet2!B:H,7,0)</f>
        <v>#N/A</v>
      </c>
      <c r="M349" s="45"/>
    </row>
    <row r="350" spans="1:13" ht="15.75" customHeight="1" x14ac:dyDescent="0.25">
      <c r="A350" s="7" t="s">
        <v>833</v>
      </c>
      <c r="B350" s="7"/>
      <c r="C350" s="7"/>
      <c r="D350" s="56"/>
      <c r="E350" s="7"/>
      <c r="F350" s="7"/>
      <c r="G350" s="7"/>
      <c r="H350" s="16"/>
      <c r="I350" s="32"/>
      <c r="J350" s="32"/>
      <c r="K350" s="79" t="e">
        <f>VLOOKUP(C:C,Sheet2!B:H,7,0)</f>
        <v>#N/A</v>
      </c>
      <c r="M350" s="45"/>
    </row>
    <row r="351" spans="1:13" x14ac:dyDescent="0.25">
      <c r="A351" s="3" t="s">
        <v>4</v>
      </c>
      <c r="B351" s="3" t="s">
        <v>5</v>
      </c>
      <c r="C351" s="3" t="s">
        <v>6</v>
      </c>
      <c r="D351" s="15" t="s">
        <v>7</v>
      </c>
      <c r="E351" s="3" t="s">
        <v>8</v>
      </c>
      <c r="F351" s="3" t="s">
        <v>9</v>
      </c>
      <c r="G351" s="3" t="s">
        <v>10</v>
      </c>
      <c r="H351" s="8" t="s">
        <v>11</v>
      </c>
      <c r="I351" s="15" t="s">
        <v>12</v>
      </c>
      <c r="J351" s="31" t="s">
        <v>13</v>
      </c>
      <c r="K351" s="79" t="e">
        <f>VLOOKUP(C:C,Sheet2!B:H,7,0)</f>
        <v>#N/A</v>
      </c>
      <c r="M351" s="45"/>
    </row>
    <row r="352" spans="1:13" x14ac:dyDescent="0.25">
      <c r="A352" s="4" t="s">
        <v>834</v>
      </c>
      <c r="B352" s="4" t="s">
        <v>835</v>
      </c>
      <c r="C352" s="5" t="s">
        <v>836</v>
      </c>
      <c r="D352" s="54">
        <v>1.1499999999999999</v>
      </c>
      <c r="E352" s="5" t="s">
        <v>116</v>
      </c>
      <c r="F352" s="5" t="s">
        <v>26</v>
      </c>
      <c r="G352" s="5" t="s">
        <v>106</v>
      </c>
      <c r="H352" s="9">
        <v>26.25</v>
      </c>
      <c r="I352" s="29" t="s">
        <v>101</v>
      </c>
      <c r="J352" s="27" t="s">
        <v>21</v>
      </c>
      <c r="K352" s="79">
        <f>VLOOKUP(C:C,Sheet2!B:H,7,0)</f>
        <v>69</v>
      </c>
      <c r="M352" s="45"/>
    </row>
    <row r="353" spans="1:13" x14ac:dyDescent="0.25">
      <c r="A353" s="4" t="s">
        <v>837</v>
      </c>
      <c r="B353" s="4" t="s">
        <v>838</v>
      </c>
      <c r="C353" s="5" t="s">
        <v>839</v>
      </c>
      <c r="D353" s="54">
        <v>1.5</v>
      </c>
      <c r="E353" s="5" t="s">
        <v>43</v>
      </c>
      <c r="F353" s="5" t="s">
        <v>26</v>
      </c>
      <c r="G353" s="5" t="s">
        <v>106</v>
      </c>
      <c r="H353" s="9">
        <v>30</v>
      </c>
      <c r="I353" s="29" t="s">
        <v>20</v>
      </c>
      <c r="J353" s="27" t="s">
        <v>21</v>
      </c>
      <c r="K353" s="79">
        <f>VLOOKUP(C:C,Sheet2!B:H,7,0)</f>
        <v>45</v>
      </c>
      <c r="M353" s="45"/>
    </row>
    <row r="354" spans="1:13" x14ac:dyDescent="0.25">
      <c r="A354" s="4" t="s">
        <v>840</v>
      </c>
      <c r="B354" s="4" t="s">
        <v>841</v>
      </c>
      <c r="C354" s="5" t="s">
        <v>842</v>
      </c>
      <c r="D354" s="54">
        <v>1.55</v>
      </c>
      <c r="E354" s="5" t="s">
        <v>43</v>
      </c>
      <c r="F354" s="5" t="s">
        <v>26</v>
      </c>
      <c r="G354" s="5" t="s">
        <v>106</v>
      </c>
      <c r="H354" s="9">
        <v>30</v>
      </c>
      <c r="I354" s="29" t="s">
        <v>20</v>
      </c>
      <c r="J354" s="27" t="s">
        <v>21</v>
      </c>
      <c r="K354" s="79">
        <f>VLOOKUP(C:C,Sheet2!B:H,7,0)</f>
        <v>46.5</v>
      </c>
      <c r="M354" s="45"/>
    </row>
    <row r="355" spans="1:13" x14ac:dyDescent="0.25">
      <c r="A355" s="4" t="s">
        <v>843</v>
      </c>
      <c r="B355" s="4" t="s">
        <v>844</v>
      </c>
      <c r="C355" s="5" t="s">
        <v>845</v>
      </c>
      <c r="D355" s="54">
        <v>1.1499999999999999</v>
      </c>
      <c r="E355" s="5" t="s">
        <v>116</v>
      </c>
      <c r="F355" s="5" t="s">
        <v>26</v>
      </c>
      <c r="G355" s="5" t="s">
        <v>19</v>
      </c>
      <c r="H355" s="9">
        <v>26.25</v>
      </c>
      <c r="I355" s="29" t="s">
        <v>101</v>
      </c>
      <c r="J355" s="27" t="s">
        <v>21</v>
      </c>
      <c r="K355" s="79">
        <f>VLOOKUP(C:C,Sheet2!B:H,7,0)</f>
        <v>69</v>
      </c>
      <c r="M355" s="45"/>
    </row>
    <row r="356" spans="1:13" x14ac:dyDescent="0.25">
      <c r="A356" s="4" t="s">
        <v>846</v>
      </c>
      <c r="B356" s="4" t="s">
        <v>847</v>
      </c>
      <c r="C356" s="5" t="s">
        <v>848</v>
      </c>
      <c r="D356" s="54">
        <v>3.5</v>
      </c>
      <c r="E356" s="5" t="s">
        <v>849</v>
      </c>
      <c r="F356" s="5" t="s">
        <v>26</v>
      </c>
      <c r="G356" s="5" t="s">
        <v>19</v>
      </c>
      <c r="H356" s="9">
        <v>40</v>
      </c>
      <c r="I356" s="29" t="s">
        <v>20</v>
      </c>
      <c r="J356" s="27" t="s">
        <v>21</v>
      </c>
      <c r="K356" s="79">
        <f>VLOOKUP(C:C,Sheet2!B:H,7,0)</f>
        <v>140</v>
      </c>
      <c r="M356" s="45"/>
    </row>
    <row r="357" spans="1:13" x14ac:dyDescent="0.25">
      <c r="A357" s="4" t="s">
        <v>850</v>
      </c>
      <c r="B357" s="4" t="s">
        <v>847</v>
      </c>
      <c r="C357" s="5" t="s">
        <v>851</v>
      </c>
      <c r="D357" s="54">
        <v>3.5</v>
      </c>
      <c r="E357" s="5" t="s">
        <v>849</v>
      </c>
      <c r="F357" s="5" t="s">
        <v>26</v>
      </c>
      <c r="G357" s="5" t="s">
        <v>19</v>
      </c>
      <c r="H357" s="9">
        <v>40</v>
      </c>
      <c r="I357" s="29" t="s">
        <v>20</v>
      </c>
      <c r="J357" s="27" t="s">
        <v>21</v>
      </c>
      <c r="K357" s="79">
        <f>VLOOKUP(C:C,Sheet2!B:H,7,0)</f>
        <v>140</v>
      </c>
      <c r="M357" s="45"/>
    </row>
    <row r="358" spans="1:13" x14ac:dyDescent="0.25">
      <c r="A358" s="4" t="s">
        <v>852</v>
      </c>
      <c r="B358" s="4" t="s">
        <v>853</v>
      </c>
      <c r="C358" s="5" t="s">
        <v>854</v>
      </c>
      <c r="D358" s="54">
        <v>3.6</v>
      </c>
      <c r="E358" s="5" t="s">
        <v>849</v>
      </c>
      <c r="F358" s="5" t="s">
        <v>26</v>
      </c>
      <c r="G358" s="5" t="s">
        <v>19</v>
      </c>
      <c r="H358" s="9">
        <v>40</v>
      </c>
      <c r="I358" s="29" t="s">
        <v>20</v>
      </c>
      <c r="J358" s="27" t="s">
        <v>21</v>
      </c>
      <c r="K358" s="79">
        <f>VLOOKUP(C:C,Sheet2!B:H,7,0)</f>
        <v>144</v>
      </c>
      <c r="M358" s="45"/>
    </row>
    <row r="359" spans="1:13" x14ac:dyDescent="0.25">
      <c r="A359" s="4" t="s">
        <v>855</v>
      </c>
      <c r="B359" s="4" t="s">
        <v>856</v>
      </c>
      <c r="C359" s="5" t="s">
        <v>857</v>
      </c>
      <c r="D359" s="54">
        <v>4.2</v>
      </c>
      <c r="E359" s="5" t="s">
        <v>849</v>
      </c>
      <c r="F359" s="5" t="s">
        <v>26</v>
      </c>
      <c r="G359" s="5" t="s">
        <v>19</v>
      </c>
      <c r="H359" s="9">
        <v>40</v>
      </c>
      <c r="I359" s="29" t="s">
        <v>20</v>
      </c>
      <c r="J359" s="27" t="s">
        <v>21</v>
      </c>
      <c r="K359" s="79">
        <f>VLOOKUP(C:C,Sheet2!B:H,7,0)</f>
        <v>168</v>
      </c>
      <c r="M359" s="45"/>
    </row>
    <row r="360" spans="1:13" x14ac:dyDescent="0.25">
      <c r="A360" s="4" t="s">
        <v>858</v>
      </c>
      <c r="B360" s="4" t="s">
        <v>859</v>
      </c>
      <c r="C360" s="5" t="s">
        <v>860</v>
      </c>
      <c r="D360" s="54">
        <v>2</v>
      </c>
      <c r="E360" s="5" t="s">
        <v>861</v>
      </c>
      <c r="F360" s="5" t="s">
        <v>26</v>
      </c>
      <c r="G360" s="5" t="s">
        <v>106</v>
      </c>
      <c r="H360" s="9">
        <v>36</v>
      </c>
      <c r="I360" s="29" t="s">
        <v>20</v>
      </c>
      <c r="J360" s="27" t="s">
        <v>21</v>
      </c>
      <c r="K360" s="79">
        <f>VLOOKUP(C:C,Sheet2!B:H,7,0)</f>
        <v>48</v>
      </c>
      <c r="M360" s="45"/>
    </row>
    <row r="361" spans="1:13" x14ac:dyDescent="0.25">
      <c r="A361" s="4" t="s">
        <v>862</v>
      </c>
      <c r="B361" s="4" t="s">
        <v>863</v>
      </c>
      <c r="C361" s="5" t="s">
        <v>864</v>
      </c>
      <c r="D361" s="54">
        <v>1.8</v>
      </c>
      <c r="E361" s="5" t="s">
        <v>43</v>
      </c>
      <c r="F361" s="5" t="s">
        <v>26</v>
      </c>
      <c r="G361" s="5" t="s">
        <v>106</v>
      </c>
      <c r="H361" s="9">
        <v>30</v>
      </c>
      <c r="I361" s="29" t="s">
        <v>20</v>
      </c>
      <c r="J361" s="27" t="s">
        <v>21</v>
      </c>
      <c r="K361" s="79" t="e">
        <f>VLOOKUP(C:C,Sheet2!B:H,7,0)</f>
        <v>#N/A</v>
      </c>
      <c r="M361" s="45"/>
    </row>
    <row r="362" spans="1:13" x14ac:dyDescent="0.25">
      <c r="A362" s="4" t="s">
        <v>865</v>
      </c>
      <c r="B362" s="4" t="s">
        <v>866</v>
      </c>
      <c r="C362" s="5" t="s">
        <v>867</v>
      </c>
      <c r="D362" s="54">
        <v>1.9</v>
      </c>
      <c r="E362" s="5" t="s">
        <v>43</v>
      </c>
      <c r="F362" s="5" t="s">
        <v>26</v>
      </c>
      <c r="G362" s="5" t="s">
        <v>106</v>
      </c>
      <c r="H362" s="9">
        <v>30</v>
      </c>
      <c r="I362" s="29" t="s">
        <v>20</v>
      </c>
      <c r="J362" s="27" t="s">
        <v>21</v>
      </c>
      <c r="K362" s="79">
        <f>VLOOKUP(C:C,Sheet2!B:H,7,0)</f>
        <v>57</v>
      </c>
      <c r="M362" s="45"/>
    </row>
    <row r="363" spans="1:13" x14ac:dyDescent="0.25">
      <c r="A363" s="4" t="s">
        <v>868</v>
      </c>
      <c r="B363" s="4" t="s">
        <v>869</v>
      </c>
      <c r="C363" s="5" t="s">
        <v>870</v>
      </c>
      <c r="D363" s="54">
        <v>1.3</v>
      </c>
      <c r="E363" s="5" t="s">
        <v>116</v>
      </c>
      <c r="F363" s="5" t="s">
        <v>26</v>
      </c>
      <c r="G363" s="5" t="s">
        <v>106</v>
      </c>
      <c r="H363" s="9">
        <v>26.25</v>
      </c>
      <c r="I363" s="29" t="s">
        <v>101</v>
      </c>
      <c r="J363" s="27" t="s">
        <v>21</v>
      </c>
      <c r="K363" s="79">
        <f>VLOOKUP(C:C,Sheet2!B:H,7,0)</f>
        <v>78</v>
      </c>
      <c r="M363" s="45"/>
    </row>
    <row r="364" spans="1:13" x14ac:dyDescent="0.25">
      <c r="A364" s="4" t="s">
        <v>871</v>
      </c>
      <c r="B364" s="4" t="s">
        <v>872</v>
      </c>
      <c r="C364" s="5" t="s">
        <v>873</v>
      </c>
      <c r="D364" s="54">
        <v>1.3</v>
      </c>
      <c r="E364" s="5" t="s">
        <v>874</v>
      </c>
      <c r="F364" s="5" t="s">
        <v>26</v>
      </c>
      <c r="G364" s="5" t="s">
        <v>19</v>
      </c>
      <c r="H364" s="9">
        <v>18</v>
      </c>
      <c r="I364" s="29" t="s">
        <v>161</v>
      </c>
      <c r="J364" s="27" t="s">
        <v>21</v>
      </c>
      <c r="K364" s="79">
        <f>VLOOKUP(C:C,Sheet2!B:H,7,0)</f>
        <v>31.2</v>
      </c>
      <c r="M364" s="45"/>
    </row>
    <row r="365" spans="1:13" x14ac:dyDescent="0.25">
      <c r="A365" s="4" t="s">
        <v>875</v>
      </c>
      <c r="B365" s="47" t="s">
        <v>876</v>
      </c>
      <c r="C365" s="5" t="s">
        <v>877</v>
      </c>
      <c r="D365" s="54">
        <v>1.85</v>
      </c>
      <c r="E365" s="5" t="s">
        <v>861</v>
      </c>
      <c r="F365" s="5" t="s">
        <v>26</v>
      </c>
      <c r="G365" s="5" t="s">
        <v>106</v>
      </c>
      <c r="H365" s="9">
        <v>48</v>
      </c>
      <c r="I365" s="29" t="s">
        <v>20</v>
      </c>
      <c r="J365" s="27" t="s">
        <v>21</v>
      </c>
      <c r="K365" s="79">
        <f>VLOOKUP(C:C,Sheet2!B:H,7,0)</f>
        <v>44.4</v>
      </c>
      <c r="M365" s="45"/>
    </row>
    <row r="366" spans="1:13" ht="15.75" customHeight="1" x14ac:dyDescent="0.25">
      <c r="A366" s="48" t="s">
        <v>878</v>
      </c>
      <c r="B366" s="50" t="s">
        <v>879</v>
      </c>
      <c r="C366" s="49" t="s">
        <v>880</v>
      </c>
      <c r="D366" s="54">
        <v>1.3</v>
      </c>
      <c r="E366" s="5" t="s">
        <v>881</v>
      </c>
      <c r="F366" s="5" t="s">
        <v>26</v>
      </c>
      <c r="G366" s="5" t="s">
        <v>19</v>
      </c>
      <c r="H366" s="9">
        <v>10</v>
      </c>
      <c r="I366" s="29" t="s">
        <v>20</v>
      </c>
      <c r="J366" s="27" t="s">
        <v>21</v>
      </c>
      <c r="K366" s="79">
        <f>VLOOKUP(C:C,Sheet2!B:H,7,0)</f>
        <v>52</v>
      </c>
      <c r="M366" s="45"/>
    </row>
    <row r="367" spans="1:13" ht="15.75" customHeight="1" x14ac:dyDescent="0.25">
      <c r="B367" s="12"/>
      <c r="K367" s="79" t="e">
        <f>VLOOKUP(C:C,Sheet2!B:H,7,0)</f>
        <v>#N/A</v>
      </c>
      <c r="M367" s="45"/>
    </row>
    <row r="368" spans="1:13" ht="15.75" customHeight="1" x14ac:dyDescent="0.25">
      <c r="A368" s="46" t="s">
        <v>882</v>
      </c>
      <c r="B368" s="7"/>
      <c r="C368" s="7"/>
      <c r="D368" s="58"/>
      <c r="E368" s="7"/>
      <c r="F368" s="7"/>
      <c r="G368" s="7"/>
      <c r="H368" s="23"/>
      <c r="I368" s="33"/>
      <c r="J368" s="33"/>
      <c r="K368" s="79" t="e">
        <f>VLOOKUP(C:C,Sheet2!B:H,7,0)</f>
        <v>#N/A</v>
      </c>
      <c r="M368" s="45"/>
    </row>
    <row r="369" spans="1:13" x14ac:dyDescent="0.25">
      <c r="A369" s="3" t="s">
        <v>4</v>
      </c>
      <c r="B369" s="3" t="s">
        <v>5</v>
      </c>
      <c r="C369" s="3" t="s">
        <v>6</v>
      </c>
      <c r="D369" s="15" t="s">
        <v>7</v>
      </c>
      <c r="E369" s="3" t="s">
        <v>8</v>
      </c>
      <c r="F369" s="3" t="s">
        <v>9</v>
      </c>
      <c r="G369" s="3" t="s">
        <v>10</v>
      </c>
      <c r="H369" s="8" t="s">
        <v>11</v>
      </c>
      <c r="I369" s="15" t="s">
        <v>12</v>
      </c>
      <c r="J369" s="31" t="s">
        <v>13</v>
      </c>
      <c r="K369" s="79" t="e">
        <f>VLOOKUP(C:C,Sheet2!B:H,7,0)</f>
        <v>#N/A</v>
      </c>
      <c r="M369" s="45"/>
    </row>
    <row r="370" spans="1:13" x14ac:dyDescent="0.25">
      <c r="A370" s="24" t="s">
        <v>356</v>
      </c>
      <c r="B370" s="4" t="s">
        <v>357</v>
      </c>
      <c r="C370" s="25" t="s">
        <v>358</v>
      </c>
      <c r="D370" s="86">
        <v>1.9</v>
      </c>
      <c r="E370" s="25" t="s">
        <v>359</v>
      </c>
      <c r="F370" s="25" t="s">
        <v>26</v>
      </c>
      <c r="G370" s="25" t="s">
        <v>106</v>
      </c>
      <c r="H370" s="26">
        <v>22</v>
      </c>
      <c r="I370" s="25" t="s">
        <v>360</v>
      </c>
      <c r="J370" s="27" t="s">
        <v>39</v>
      </c>
      <c r="K370" s="79">
        <f>VLOOKUP(C:C,Sheet2!B:H,7,0)</f>
        <v>41.8</v>
      </c>
      <c r="M370" s="45"/>
    </row>
    <row r="371" spans="1:13" x14ac:dyDescent="0.25">
      <c r="A371" s="24" t="s">
        <v>361</v>
      </c>
      <c r="B371" s="4" t="s">
        <v>357</v>
      </c>
      <c r="C371" s="25" t="s">
        <v>362</v>
      </c>
      <c r="D371" s="86">
        <v>1.9</v>
      </c>
      <c r="E371" s="25" t="s">
        <v>359</v>
      </c>
      <c r="F371" s="25" t="s">
        <v>26</v>
      </c>
      <c r="G371" s="25" t="s">
        <v>106</v>
      </c>
      <c r="H371" s="26">
        <v>22</v>
      </c>
      <c r="I371" s="25" t="s">
        <v>360</v>
      </c>
      <c r="J371" s="27" t="s">
        <v>39</v>
      </c>
      <c r="K371" s="79">
        <f>VLOOKUP(C:C,Sheet2!B:H,7,0)</f>
        <v>41.8</v>
      </c>
      <c r="M371" s="45"/>
    </row>
    <row r="372" spans="1:13" x14ac:dyDescent="0.25">
      <c r="A372" s="24" t="s">
        <v>147</v>
      </c>
      <c r="B372" s="4" t="s">
        <v>148</v>
      </c>
      <c r="C372" s="25" t="s">
        <v>149</v>
      </c>
      <c r="D372" s="86">
        <v>3.3</v>
      </c>
      <c r="E372" s="25" t="s">
        <v>151</v>
      </c>
      <c r="F372" s="25" t="s">
        <v>18</v>
      </c>
      <c r="G372" s="25" t="s">
        <v>19</v>
      </c>
      <c r="H372" s="26">
        <v>24</v>
      </c>
      <c r="I372" s="25" t="s">
        <v>101</v>
      </c>
      <c r="J372" s="27" t="s">
        <v>21</v>
      </c>
      <c r="K372" s="79">
        <f>VLOOKUP(C:C,Sheet2!B:H,7,0)</f>
        <v>0</v>
      </c>
      <c r="M372" s="45"/>
    </row>
    <row r="373" spans="1:13" x14ac:dyDescent="0.25">
      <c r="A373" s="24" t="s">
        <v>363</v>
      </c>
      <c r="B373" s="4" t="s">
        <v>357</v>
      </c>
      <c r="C373" s="25" t="s">
        <v>364</v>
      </c>
      <c r="D373" s="86">
        <v>1.9</v>
      </c>
      <c r="E373" s="25" t="s">
        <v>353</v>
      </c>
      <c r="F373" s="25" t="s">
        <v>26</v>
      </c>
      <c r="G373" s="25" t="s">
        <v>106</v>
      </c>
      <c r="H373" s="26">
        <v>15</v>
      </c>
      <c r="I373" s="25" t="s">
        <v>300</v>
      </c>
      <c r="J373" s="27" t="s">
        <v>39</v>
      </c>
      <c r="K373" s="79">
        <f>VLOOKUP(C:C,Sheet2!B:H,7,0)</f>
        <v>28.5</v>
      </c>
      <c r="M373" s="45"/>
    </row>
    <row r="374" spans="1:13" x14ac:dyDescent="0.25">
      <c r="A374" s="24" t="s">
        <v>365</v>
      </c>
      <c r="B374" s="4" t="s">
        <v>357</v>
      </c>
      <c r="C374" s="25" t="s">
        <v>366</v>
      </c>
      <c r="D374" s="86">
        <v>1.9</v>
      </c>
      <c r="E374" s="25" t="s">
        <v>353</v>
      </c>
      <c r="F374" s="25" t="s">
        <v>26</v>
      </c>
      <c r="G374" s="25" t="s">
        <v>106</v>
      </c>
      <c r="H374" s="26">
        <v>15</v>
      </c>
      <c r="I374" s="25" t="s">
        <v>300</v>
      </c>
      <c r="J374" s="27" t="s">
        <v>39</v>
      </c>
      <c r="K374" s="79">
        <f>VLOOKUP(C:C,Sheet2!B:H,7,0)</f>
        <v>28.5</v>
      </c>
      <c r="M374" s="45"/>
    </row>
    <row r="375" spans="1:13" x14ac:dyDescent="0.25">
      <c r="A375" s="24" t="s">
        <v>296</v>
      </c>
      <c r="B375" s="4" t="s">
        <v>297</v>
      </c>
      <c r="C375" s="25" t="s">
        <v>298</v>
      </c>
      <c r="D375" s="86">
        <v>2.25</v>
      </c>
      <c r="E375" s="25" t="s">
        <v>299</v>
      </c>
      <c r="F375" s="25" t="s">
        <v>18</v>
      </c>
      <c r="G375" s="25" t="s">
        <v>106</v>
      </c>
      <c r="H375" s="26">
        <v>10</v>
      </c>
      <c r="I375" s="25" t="s">
        <v>300</v>
      </c>
      <c r="J375" s="27" t="s">
        <v>39</v>
      </c>
      <c r="K375" s="79">
        <f>VLOOKUP(C:C,Sheet2!B:H,7,0)</f>
        <v>22</v>
      </c>
      <c r="M375" s="45"/>
    </row>
    <row r="376" spans="1:13" x14ac:dyDescent="0.25">
      <c r="A376" s="28" t="s">
        <v>301</v>
      </c>
      <c r="B376" s="4" t="s">
        <v>297</v>
      </c>
      <c r="C376" s="25" t="s">
        <v>302</v>
      </c>
      <c r="D376" s="86">
        <v>2.2999999999999998</v>
      </c>
      <c r="E376" s="25" t="s">
        <v>299</v>
      </c>
      <c r="F376" s="25" t="s">
        <v>18</v>
      </c>
      <c r="G376" s="25" t="s">
        <v>106</v>
      </c>
      <c r="H376" s="26">
        <v>10</v>
      </c>
      <c r="I376" s="25" t="s">
        <v>300</v>
      </c>
      <c r="J376" s="27" t="s">
        <v>39</v>
      </c>
      <c r="K376" s="79">
        <f>VLOOKUP(C:C,Sheet2!B:H,7,0)</f>
        <v>22.5</v>
      </c>
      <c r="M376" s="45"/>
    </row>
    <row r="377" spans="1:13" x14ac:dyDescent="0.25">
      <c r="A377" s="28" t="s">
        <v>303</v>
      </c>
      <c r="B377" s="4" t="s">
        <v>297</v>
      </c>
      <c r="C377" s="25" t="s">
        <v>304</v>
      </c>
      <c r="D377" s="86">
        <v>2.35</v>
      </c>
      <c r="E377" s="25" t="s">
        <v>299</v>
      </c>
      <c r="F377" s="25" t="s">
        <v>18</v>
      </c>
      <c r="G377" s="25" t="s">
        <v>106</v>
      </c>
      <c r="H377" s="26">
        <v>10</v>
      </c>
      <c r="I377" s="25" t="s">
        <v>20</v>
      </c>
      <c r="J377" s="27" t="s">
        <v>39</v>
      </c>
      <c r="K377" s="79">
        <f>VLOOKUP(C:C,Sheet2!B:H,7,0)</f>
        <v>22.5</v>
      </c>
      <c r="M377" s="45"/>
    </row>
    <row r="378" spans="1:13" x14ac:dyDescent="0.25">
      <c r="A378" s="28" t="s">
        <v>305</v>
      </c>
      <c r="B378" s="4" t="s">
        <v>297</v>
      </c>
      <c r="C378" s="25" t="s">
        <v>306</v>
      </c>
      <c r="D378" s="86">
        <v>2.4</v>
      </c>
      <c r="E378" s="25" t="s">
        <v>299</v>
      </c>
      <c r="F378" s="25" t="s">
        <v>18</v>
      </c>
      <c r="G378" s="25" t="s">
        <v>106</v>
      </c>
      <c r="H378" s="26">
        <v>10</v>
      </c>
      <c r="I378" s="25" t="s">
        <v>20</v>
      </c>
      <c r="J378" s="27" t="s">
        <v>39</v>
      </c>
      <c r="K378" s="79">
        <f>VLOOKUP(C:C,Sheet2!B:H,7,0)</f>
        <v>23.5</v>
      </c>
      <c r="M378" s="45"/>
    </row>
    <row r="379" spans="1:13" x14ac:dyDescent="0.25">
      <c r="A379" s="28" t="s">
        <v>307</v>
      </c>
      <c r="B379" s="4" t="s">
        <v>297</v>
      </c>
      <c r="C379" s="25" t="s">
        <v>308</v>
      </c>
      <c r="D379" s="87">
        <v>2.4500000000000002</v>
      </c>
      <c r="E379" s="25" t="s">
        <v>299</v>
      </c>
      <c r="F379" s="25" t="s">
        <v>18</v>
      </c>
      <c r="G379" s="25" t="s">
        <v>106</v>
      </c>
      <c r="H379" s="26">
        <v>10</v>
      </c>
      <c r="I379" s="25" t="s">
        <v>20</v>
      </c>
      <c r="J379" s="27" t="s">
        <v>39</v>
      </c>
      <c r="K379" s="79">
        <f>VLOOKUP(C:C,Sheet2!B:H,7,0)</f>
        <v>24</v>
      </c>
      <c r="M379" s="45"/>
    </row>
    <row r="380" spans="1:13" x14ac:dyDescent="0.25">
      <c r="A380" s="24" t="s">
        <v>386</v>
      </c>
      <c r="B380" s="4" t="s">
        <v>387</v>
      </c>
      <c r="C380" s="25" t="s">
        <v>388</v>
      </c>
      <c r="D380" s="88" t="s">
        <v>64</v>
      </c>
      <c r="E380" s="25" t="s">
        <v>299</v>
      </c>
      <c r="F380" s="25" t="s">
        <v>18</v>
      </c>
      <c r="G380" s="25" t="s">
        <v>19</v>
      </c>
      <c r="H380" s="26">
        <v>10</v>
      </c>
      <c r="I380" s="25" t="s">
        <v>20</v>
      </c>
      <c r="J380" s="27" t="s">
        <v>39</v>
      </c>
      <c r="K380" s="79">
        <f>VLOOKUP(C:C,Sheet2!B:H,7,0)</f>
        <v>49</v>
      </c>
      <c r="M380" s="45"/>
    </row>
    <row r="381" spans="1:13" x14ac:dyDescent="0.25">
      <c r="A381" s="24" t="s">
        <v>391</v>
      </c>
      <c r="B381" s="4" t="s">
        <v>387</v>
      </c>
      <c r="C381" s="25" t="s">
        <v>392</v>
      </c>
      <c r="D381" s="88" t="s">
        <v>64</v>
      </c>
      <c r="E381" s="25" t="s">
        <v>299</v>
      </c>
      <c r="F381" s="25" t="s">
        <v>18</v>
      </c>
      <c r="G381" s="25" t="s">
        <v>19</v>
      </c>
      <c r="H381" s="26">
        <v>10</v>
      </c>
      <c r="I381" s="25" t="s">
        <v>20</v>
      </c>
      <c r="J381" s="27" t="s">
        <v>39</v>
      </c>
      <c r="K381" s="79" t="e">
        <f>VLOOKUP(C:C,Sheet2!B:H,7,0)</f>
        <v>#N/A</v>
      </c>
      <c r="M381" s="45"/>
    </row>
    <row r="382" spans="1:13" x14ac:dyDescent="0.25">
      <c r="A382" s="28" t="s">
        <v>334</v>
      </c>
      <c r="B382" s="47" t="s">
        <v>327</v>
      </c>
      <c r="C382" s="25" t="s">
        <v>335</v>
      </c>
      <c r="D382" s="86">
        <v>1.35</v>
      </c>
      <c r="E382" s="25" t="s">
        <v>177</v>
      </c>
      <c r="F382" s="25" t="s">
        <v>18</v>
      </c>
      <c r="G382" s="25" t="s">
        <v>106</v>
      </c>
      <c r="H382" s="26">
        <v>40</v>
      </c>
      <c r="I382" s="25" t="s">
        <v>91</v>
      </c>
      <c r="J382" s="27" t="s">
        <v>39</v>
      </c>
      <c r="K382" s="79">
        <f>VLOOKUP(C:C,Sheet2!B:H,7,0)</f>
        <v>54</v>
      </c>
      <c r="M382" s="45"/>
    </row>
    <row r="383" spans="1:13" ht="15.75" customHeight="1" x14ac:dyDescent="0.25">
      <c r="A383" s="24" t="s">
        <v>336</v>
      </c>
      <c r="B383" s="50" t="s">
        <v>327</v>
      </c>
      <c r="C383" s="25" t="s">
        <v>337</v>
      </c>
      <c r="D383" s="86">
        <v>1.35</v>
      </c>
      <c r="E383" s="25" t="s">
        <v>177</v>
      </c>
      <c r="F383" s="25" t="s">
        <v>18</v>
      </c>
      <c r="G383" s="25" t="s">
        <v>106</v>
      </c>
      <c r="H383" s="26">
        <v>40</v>
      </c>
      <c r="I383" s="25" t="s">
        <v>91</v>
      </c>
      <c r="J383" s="27" t="s">
        <v>39</v>
      </c>
      <c r="K383" s="79">
        <f>VLOOKUP(C:C,Sheet2!B:H,7,0)</f>
        <v>54</v>
      </c>
      <c r="M383" s="45"/>
    </row>
    <row r="384" spans="1:13" ht="15.75" customHeight="1" x14ac:dyDescent="0.25">
      <c r="A384" s="22"/>
      <c r="B384" s="12"/>
      <c r="C384" s="19"/>
      <c r="D384" s="59"/>
      <c r="E384" s="19"/>
      <c r="F384" s="19"/>
      <c r="G384" s="19"/>
      <c r="H384" s="21"/>
      <c r="I384" s="19"/>
      <c r="K384" s="79" t="e">
        <f>VLOOKUP(C:C,Sheet2!B:H,7,0)</f>
        <v>#N/A</v>
      </c>
      <c r="M384" s="45"/>
    </row>
    <row r="385" spans="1:13" ht="15.75" customHeight="1" x14ac:dyDescent="0.25">
      <c r="A385" s="46" t="s">
        <v>883</v>
      </c>
      <c r="B385" s="7"/>
      <c r="C385" s="7"/>
      <c r="D385" s="58"/>
      <c r="E385" s="7"/>
      <c r="F385" s="7"/>
      <c r="G385" s="7"/>
      <c r="H385" s="23"/>
      <c r="I385" s="33"/>
      <c r="J385" s="33"/>
      <c r="K385" s="79" t="e">
        <f>VLOOKUP(C:C,Sheet2!B:H,7,0)</f>
        <v>#N/A</v>
      </c>
      <c r="M385" s="45"/>
    </row>
    <row r="386" spans="1:13" x14ac:dyDescent="0.25">
      <c r="A386" s="3" t="s">
        <v>4</v>
      </c>
      <c r="B386" s="3" t="s">
        <v>5</v>
      </c>
      <c r="C386" s="3" t="s">
        <v>6</v>
      </c>
      <c r="D386" s="15" t="s">
        <v>7</v>
      </c>
      <c r="E386" s="3" t="s">
        <v>8</v>
      </c>
      <c r="F386" s="3" t="s">
        <v>9</v>
      </c>
      <c r="G386" s="3" t="s">
        <v>10</v>
      </c>
      <c r="H386" s="8" t="s">
        <v>11</v>
      </c>
      <c r="I386" s="15" t="s">
        <v>12</v>
      </c>
      <c r="J386" s="31" t="s">
        <v>13</v>
      </c>
      <c r="K386" s="79" t="e">
        <f>VLOOKUP(C:C,Sheet2!B:H,7,0)</f>
        <v>#N/A</v>
      </c>
      <c r="M386" s="45"/>
    </row>
    <row r="387" spans="1:13" x14ac:dyDescent="0.25">
      <c r="A387" s="24" t="s">
        <v>180</v>
      </c>
      <c r="B387" s="4" t="s">
        <v>181</v>
      </c>
      <c r="C387" s="25" t="s">
        <v>182</v>
      </c>
      <c r="D387" s="60">
        <v>3</v>
      </c>
      <c r="E387" s="25" t="s">
        <v>177</v>
      </c>
      <c r="F387" s="25" t="s">
        <v>18</v>
      </c>
      <c r="G387" s="25" t="s">
        <v>106</v>
      </c>
      <c r="H387" s="26">
        <v>40</v>
      </c>
      <c r="I387" s="25" t="s">
        <v>91</v>
      </c>
      <c r="J387" s="27" t="s">
        <v>39</v>
      </c>
      <c r="K387" s="79">
        <f>VLOOKUP(C:C,Sheet2!B:H,7,0)</f>
        <v>120</v>
      </c>
      <c r="M387" s="45"/>
    </row>
    <row r="388" spans="1:13" x14ac:dyDescent="0.25">
      <c r="A388" s="24" t="s">
        <v>183</v>
      </c>
      <c r="B388" s="4" t="s">
        <v>181</v>
      </c>
      <c r="C388" s="25" t="s">
        <v>184</v>
      </c>
      <c r="D388" s="60">
        <v>3.1</v>
      </c>
      <c r="E388" s="25" t="s">
        <v>177</v>
      </c>
      <c r="F388" s="25" t="s">
        <v>18</v>
      </c>
      <c r="G388" s="25" t="s">
        <v>106</v>
      </c>
      <c r="H388" s="26">
        <v>40</v>
      </c>
      <c r="I388" s="25" t="s">
        <v>91</v>
      </c>
      <c r="J388" s="27" t="s">
        <v>39</v>
      </c>
      <c r="K388" s="79">
        <f>VLOOKUP(C:C,Sheet2!B:H,7,0)</f>
        <v>124</v>
      </c>
      <c r="M388" s="45"/>
    </row>
    <row r="389" spans="1:13" x14ac:dyDescent="0.25">
      <c r="A389" s="24" t="s">
        <v>296</v>
      </c>
      <c r="B389" s="4" t="s">
        <v>297</v>
      </c>
      <c r="C389" s="25" t="s">
        <v>298</v>
      </c>
      <c r="D389" s="76">
        <v>2.25</v>
      </c>
      <c r="E389" s="25" t="s">
        <v>299</v>
      </c>
      <c r="F389" s="25" t="s">
        <v>18</v>
      </c>
      <c r="G389" s="25" t="s">
        <v>106</v>
      </c>
      <c r="H389" s="26">
        <v>10</v>
      </c>
      <c r="I389" s="25" t="s">
        <v>300</v>
      </c>
      <c r="J389" s="27" t="s">
        <v>39</v>
      </c>
      <c r="K389" s="79">
        <f>VLOOKUP(C:C,Sheet2!B:H,7,0)</f>
        <v>22</v>
      </c>
      <c r="M389" s="45"/>
    </row>
    <row r="390" spans="1:13" x14ac:dyDescent="0.25">
      <c r="A390" s="24" t="s">
        <v>301</v>
      </c>
      <c r="B390" s="4" t="s">
        <v>297</v>
      </c>
      <c r="C390" s="25" t="s">
        <v>302</v>
      </c>
      <c r="D390" s="76">
        <v>2.2999999999999998</v>
      </c>
      <c r="E390" s="25" t="s">
        <v>299</v>
      </c>
      <c r="F390" s="25" t="s">
        <v>18</v>
      </c>
      <c r="G390" s="25" t="s">
        <v>106</v>
      </c>
      <c r="H390" s="26">
        <v>10</v>
      </c>
      <c r="I390" s="25" t="s">
        <v>300</v>
      </c>
      <c r="J390" s="27" t="s">
        <v>39</v>
      </c>
      <c r="K390" s="79">
        <f>VLOOKUP(C:C,Sheet2!B:H,7,0)</f>
        <v>22.5</v>
      </c>
      <c r="M390" s="45"/>
    </row>
    <row r="391" spans="1:13" x14ac:dyDescent="0.25">
      <c r="A391" s="24" t="s">
        <v>303</v>
      </c>
      <c r="B391" s="4" t="s">
        <v>297</v>
      </c>
      <c r="C391" s="25" t="s">
        <v>304</v>
      </c>
      <c r="D391" s="76">
        <v>2.35</v>
      </c>
      <c r="E391" s="25" t="s">
        <v>299</v>
      </c>
      <c r="F391" s="25" t="s">
        <v>18</v>
      </c>
      <c r="G391" s="25" t="s">
        <v>106</v>
      </c>
      <c r="H391" s="26">
        <v>10</v>
      </c>
      <c r="I391" s="25" t="s">
        <v>20</v>
      </c>
      <c r="J391" s="27" t="s">
        <v>39</v>
      </c>
      <c r="K391" s="79">
        <f>VLOOKUP(C:C,Sheet2!B:H,7,0)</f>
        <v>22.5</v>
      </c>
      <c r="M391" s="45"/>
    </row>
    <row r="392" spans="1:13" x14ac:dyDescent="0.25">
      <c r="A392" s="24" t="s">
        <v>305</v>
      </c>
      <c r="B392" s="4" t="s">
        <v>297</v>
      </c>
      <c r="C392" s="25" t="s">
        <v>306</v>
      </c>
      <c r="D392" s="76">
        <v>2.4</v>
      </c>
      <c r="E392" s="25" t="s">
        <v>299</v>
      </c>
      <c r="F392" s="25" t="s">
        <v>18</v>
      </c>
      <c r="G392" s="25" t="s">
        <v>106</v>
      </c>
      <c r="H392" s="26">
        <v>10</v>
      </c>
      <c r="I392" s="25" t="s">
        <v>20</v>
      </c>
      <c r="J392" s="27" t="s">
        <v>39</v>
      </c>
      <c r="K392" s="79">
        <f>VLOOKUP(C:C,Sheet2!B:H,7,0)</f>
        <v>23.5</v>
      </c>
      <c r="M392" s="45"/>
    </row>
    <row r="393" spans="1:13" x14ac:dyDescent="0.25">
      <c r="A393" s="24" t="s">
        <v>334</v>
      </c>
      <c r="B393" s="4" t="s">
        <v>327</v>
      </c>
      <c r="C393" s="25" t="s">
        <v>335</v>
      </c>
      <c r="D393" s="60">
        <v>1.35</v>
      </c>
      <c r="E393" s="25" t="s">
        <v>177</v>
      </c>
      <c r="F393" s="25" t="s">
        <v>18</v>
      </c>
      <c r="G393" s="25" t="s">
        <v>106</v>
      </c>
      <c r="H393" s="26">
        <v>40</v>
      </c>
      <c r="I393" s="25" t="s">
        <v>91</v>
      </c>
      <c r="J393" s="27" t="s">
        <v>39</v>
      </c>
      <c r="K393" s="79">
        <f>VLOOKUP(C:C,Sheet2!B:H,7,0)</f>
        <v>54</v>
      </c>
      <c r="M393" s="45"/>
    </row>
    <row r="394" spans="1:13" x14ac:dyDescent="0.25">
      <c r="A394" s="24" t="s">
        <v>336</v>
      </c>
      <c r="B394" s="4" t="s">
        <v>327</v>
      </c>
      <c r="C394" s="25" t="s">
        <v>337</v>
      </c>
      <c r="D394" s="88" t="s">
        <v>64</v>
      </c>
      <c r="E394" s="25" t="s">
        <v>177</v>
      </c>
      <c r="F394" s="25" t="s">
        <v>18</v>
      </c>
      <c r="G394" s="25" t="s">
        <v>106</v>
      </c>
      <c r="H394" s="26">
        <v>40</v>
      </c>
      <c r="I394" s="25" t="s">
        <v>91</v>
      </c>
      <c r="J394" s="27" t="s">
        <v>39</v>
      </c>
      <c r="K394" s="79">
        <f>VLOOKUP(C:C,Sheet2!B:H,7,0)</f>
        <v>54</v>
      </c>
    </row>
  </sheetData>
  <printOptions horizontalCentered="1"/>
  <pageMargins left="0.1" right="0.1" top="0.25" bottom="0.25" header="0.5" footer="0.5"/>
  <pageSetup scale="9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2"/>
  <sheetViews>
    <sheetView topLeftCell="A34" workbookViewId="0">
      <selection activeCell="F259" sqref="F259"/>
    </sheetView>
  </sheetViews>
  <sheetFormatPr defaultRowHeight="15" x14ac:dyDescent="0.25"/>
  <cols>
    <col min="1" max="1" width="35" style="79" customWidth="1"/>
    <col min="2" max="3" width="12" style="79" customWidth="1"/>
    <col min="4" max="4" width="25" style="79" customWidth="1"/>
    <col min="5" max="5" width="18" style="79" customWidth="1"/>
    <col min="6" max="8" width="12" style="79" customWidth="1"/>
  </cols>
  <sheetData>
    <row r="1" spans="1:8" ht="18" customHeight="1" x14ac:dyDescent="0.25">
      <c r="A1" s="89" t="s">
        <v>884</v>
      </c>
      <c r="B1" s="90"/>
      <c r="C1" s="90"/>
      <c r="D1" s="90"/>
      <c r="E1" s="90"/>
    </row>
    <row r="2" spans="1:8" x14ac:dyDescent="0.25">
      <c r="A2" s="2" t="s">
        <v>885</v>
      </c>
    </row>
    <row r="4" spans="1:8" x14ac:dyDescent="0.25">
      <c r="A4" s="6" t="s">
        <v>4</v>
      </c>
      <c r="B4" s="6" t="s">
        <v>6</v>
      </c>
      <c r="C4" s="6" t="s">
        <v>9</v>
      </c>
      <c r="D4" s="6" t="s">
        <v>886</v>
      </c>
      <c r="E4" s="6" t="s">
        <v>8</v>
      </c>
      <c r="F4" s="11" t="s">
        <v>11</v>
      </c>
      <c r="G4" s="11" t="s">
        <v>7</v>
      </c>
      <c r="H4" s="11" t="s">
        <v>887</v>
      </c>
    </row>
    <row r="5" spans="1:8" x14ac:dyDescent="0.25">
      <c r="A5" s="4" t="s">
        <v>705</v>
      </c>
      <c r="B5" s="5" t="s">
        <v>707</v>
      </c>
      <c r="C5" s="5" t="s">
        <v>709</v>
      </c>
      <c r="D5" s="4" t="s">
        <v>888</v>
      </c>
      <c r="E5" s="4" t="s">
        <v>708</v>
      </c>
      <c r="F5" s="9">
        <v>44</v>
      </c>
      <c r="G5" s="10">
        <v>0</v>
      </c>
      <c r="H5" s="10">
        <v>0.8</v>
      </c>
    </row>
    <row r="6" spans="1:8" x14ac:dyDescent="0.25">
      <c r="A6" s="4" t="s">
        <v>834</v>
      </c>
      <c r="B6" s="5" t="s">
        <v>836</v>
      </c>
      <c r="C6" s="5" t="s">
        <v>26</v>
      </c>
      <c r="D6" s="4" t="s">
        <v>889</v>
      </c>
      <c r="E6" s="4" t="s">
        <v>116</v>
      </c>
      <c r="F6" s="9">
        <v>26.25</v>
      </c>
      <c r="G6" s="10">
        <v>0</v>
      </c>
      <c r="H6" s="10">
        <v>0</v>
      </c>
    </row>
    <row r="7" spans="1:8" x14ac:dyDescent="0.25">
      <c r="A7" s="4" t="s">
        <v>710</v>
      </c>
      <c r="B7" s="5" t="s">
        <v>712</v>
      </c>
      <c r="C7" s="5" t="s">
        <v>26</v>
      </c>
      <c r="D7" s="4" t="s">
        <v>888</v>
      </c>
      <c r="E7" s="4" t="s">
        <v>372</v>
      </c>
      <c r="F7" s="9">
        <v>30</v>
      </c>
      <c r="G7" s="10">
        <v>0</v>
      </c>
      <c r="H7" s="10">
        <v>0</v>
      </c>
    </row>
    <row r="8" spans="1:8" x14ac:dyDescent="0.25">
      <c r="A8" s="4" t="s">
        <v>14</v>
      </c>
      <c r="B8" s="5" t="s">
        <v>16</v>
      </c>
      <c r="C8" s="5" t="s">
        <v>18</v>
      </c>
      <c r="D8" s="4" t="s">
        <v>890</v>
      </c>
      <c r="E8" s="4" t="s">
        <v>17</v>
      </c>
      <c r="F8" s="9">
        <v>26</v>
      </c>
      <c r="G8" s="10">
        <v>0</v>
      </c>
      <c r="H8" s="10">
        <v>0.5</v>
      </c>
    </row>
    <row r="9" spans="1:8" x14ac:dyDescent="0.25">
      <c r="A9" s="4" t="s">
        <v>595</v>
      </c>
      <c r="B9" s="5" t="s">
        <v>597</v>
      </c>
      <c r="C9" s="5" t="s">
        <v>26</v>
      </c>
      <c r="D9" s="4" t="s">
        <v>891</v>
      </c>
      <c r="E9" s="4" t="s">
        <v>294</v>
      </c>
      <c r="F9" s="9">
        <v>30</v>
      </c>
      <c r="G9" s="10">
        <v>0</v>
      </c>
      <c r="H9" s="10">
        <v>0</v>
      </c>
    </row>
    <row r="10" spans="1:8" x14ac:dyDescent="0.25">
      <c r="A10" s="4" t="s">
        <v>22</v>
      </c>
      <c r="B10" s="5" t="s">
        <v>24</v>
      </c>
      <c r="C10" s="5" t="s">
        <v>26</v>
      </c>
      <c r="D10" s="4" t="s">
        <v>890</v>
      </c>
      <c r="E10" s="4" t="s">
        <v>25</v>
      </c>
      <c r="F10" s="9">
        <v>24</v>
      </c>
      <c r="G10" s="10">
        <v>0</v>
      </c>
      <c r="H10" s="10">
        <v>0.4</v>
      </c>
    </row>
    <row r="11" spans="1:8" x14ac:dyDescent="0.25">
      <c r="A11" s="4" t="s">
        <v>27</v>
      </c>
      <c r="B11" s="5" t="s">
        <v>28</v>
      </c>
      <c r="C11" s="5" t="s">
        <v>26</v>
      </c>
      <c r="D11" s="4" t="s">
        <v>890</v>
      </c>
      <c r="E11" s="4" t="s">
        <v>25</v>
      </c>
      <c r="F11" s="9">
        <v>24</v>
      </c>
      <c r="G11" s="10">
        <v>0</v>
      </c>
      <c r="H11" s="10">
        <v>0</v>
      </c>
    </row>
    <row r="12" spans="1:8" x14ac:dyDescent="0.25">
      <c r="A12" s="4" t="s">
        <v>29</v>
      </c>
      <c r="B12" s="5" t="s">
        <v>31</v>
      </c>
      <c r="C12" s="5" t="s">
        <v>26</v>
      </c>
      <c r="D12" s="4" t="s">
        <v>890</v>
      </c>
      <c r="E12" s="4" t="s">
        <v>25</v>
      </c>
      <c r="F12" s="9">
        <v>24</v>
      </c>
      <c r="G12" s="10">
        <v>0</v>
      </c>
      <c r="H12" s="10">
        <v>0.4</v>
      </c>
    </row>
    <row r="13" spans="1:8" x14ac:dyDescent="0.25">
      <c r="A13" s="4" t="s">
        <v>32</v>
      </c>
      <c r="B13" s="5" t="s">
        <v>33</v>
      </c>
      <c r="C13" s="5" t="s">
        <v>26</v>
      </c>
      <c r="D13" s="4" t="s">
        <v>890</v>
      </c>
      <c r="E13" s="4" t="s">
        <v>25</v>
      </c>
      <c r="F13" s="9">
        <v>24</v>
      </c>
      <c r="G13" s="10">
        <v>0</v>
      </c>
      <c r="H13" s="10">
        <v>0</v>
      </c>
    </row>
    <row r="14" spans="1:8" x14ac:dyDescent="0.25">
      <c r="A14" s="4" t="s">
        <v>649</v>
      </c>
      <c r="B14" s="5" t="s">
        <v>651</v>
      </c>
      <c r="C14" s="5" t="s">
        <v>26</v>
      </c>
      <c r="D14" s="4" t="s">
        <v>891</v>
      </c>
      <c r="E14" s="4" t="s">
        <v>372</v>
      </c>
      <c r="F14" s="9">
        <v>30</v>
      </c>
      <c r="G14" s="10">
        <v>0</v>
      </c>
      <c r="H14" s="10">
        <v>0.5</v>
      </c>
    </row>
    <row r="15" spans="1:8" x14ac:dyDescent="0.25">
      <c r="A15" s="4" t="s">
        <v>717</v>
      </c>
      <c r="B15" s="5" t="s">
        <v>719</v>
      </c>
      <c r="C15" s="5" t="s">
        <v>26</v>
      </c>
      <c r="D15" s="4" t="s">
        <v>889</v>
      </c>
      <c r="E15" s="4" t="s">
        <v>17</v>
      </c>
      <c r="F15" s="9">
        <v>26.4</v>
      </c>
      <c r="G15" s="10">
        <v>0</v>
      </c>
      <c r="H15" s="10">
        <v>0</v>
      </c>
    </row>
    <row r="16" spans="1:8" x14ac:dyDescent="0.25">
      <c r="A16" s="4" t="s">
        <v>720</v>
      </c>
      <c r="B16" s="5" t="s">
        <v>722</v>
      </c>
      <c r="C16" s="5" t="s">
        <v>724</v>
      </c>
      <c r="D16" s="4" t="s">
        <v>889</v>
      </c>
      <c r="E16" s="4" t="s">
        <v>723</v>
      </c>
      <c r="F16" s="9">
        <v>22</v>
      </c>
      <c r="G16" s="10">
        <v>0</v>
      </c>
      <c r="H16" s="10">
        <v>0.79</v>
      </c>
    </row>
    <row r="17" spans="1:8" x14ac:dyDescent="0.25">
      <c r="A17" s="4" t="s">
        <v>652</v>
      </c>
      <c r="B17" s="5" t="s">
        <v>654</v>
      </c>
      <c r="C17" s="5" t="s">
        <v>398</v>
      </c>
      <c r="D17" s="4" t="s">
        <v>891</v>
      </c>
      <c r="E17" s="4" t="s">
        <v>372</v>
      </c>
      <c r="F17" s="9">
        <v>30</v>
      </c>
      <c r="G17" s="10">
        <v>0</v>
      </c>
      <c r="H17" s="10">
        <v>0</v>
      </c>
    </row>
    <row r="18" spans="1:8" x14ac:dyDescent="0.25">
      <c r="A18" s="4" t="s">
        <v>174</v>
      </c>
      <c r="B18" s="5" t="s">
        <v>176</v>
      </c>
      <c r="C18" s="5" t="s">
        <v>26</v>
      </c>
      <c r="D18" s="4" t="s">
        <v>892</v>
      </c>
      <c r="E18" s="4" t="s">
        <v>177</v>
      </c>
      <c r="F18" s="9">
        <v>40</v>
      </c>
      <c r="G18" s="10">
        <v>0</v>
      </c>
      <c r="H18" s="10">
        <v>0</v>
      </c>
    </row>
    <row r="19" spans="1:8" x14ac:dyDescent="0.25">
      <c r="A19" s="4" t="s">
        <v>178</v>
      </c>
      <c r="B19" s="5" t="s">
        <v>179</v>
      </c>
      <c r="C19" s="5" t="s">
        <v>26</v>
      </c>
      <c r="D19" s="4" t="s">
        <v>892</v>
      </c>
      <c r="E19" s="4" t="s">
        <v>177</v>
      </c>
      <c r="F19" s="9">
        <v>40</v>
      </c>
      <c r="G19" s="10">
        <v>0</v>
      </c>
      <c r="H19" s="10">
        <v>0</v>
      </c>
    </row>
    <row r="20" spans="1:8" x14ac:dyDescent="0.25">
      <c r="A20" s="4" t="s">
        <v>215</v>
      </c>
      <c r="B20" s="5" t="s">
        <v>217</v>
      </c>
      <c r="C20" s="5" t="s">
        <v>219</v>
      </c>
      <c r="D20" s="4" t="s">
        <v>893</v>
      </c>
      <c r="E20" s="4" t="s">
        <v>218</v>
      </c>
      <c r="F20" s="9">
        <v>20</v>
      </c>
      <c r="G20" s="10">
        <v>0</v>
      </c>
      <c r="H20" s="10">
        <v>0</v>
      </c>
    </row>
    <row r="21" spans="1:8" x14ac:dyDescent="0.25">
      <c r="A21" s="4" t="s">
        <v>220</v>
      </c>
      <c r="B21" s="5" t="s">
        <v>222</v>
      </c>
      <c r="C21" s="5" t="s">
        <v>18</v>
      </c>
      <c r="D21" s="4" t="s">
        <v>893</v>
      </c>
      <c r="E21" s="4" t="s">
        <v>223</v>
      </c>
      <c r="F21" s="9">
        <v>20</v>
      </c>
      <c r="G21" s="10">
        <v>0</v>
      </c>
      <c r="H21" s="10">
        <v>0</v>
      </c>
    </row>
    <row r="22" spans="1:8" x14ac:dyDescent="0.25">
      <c r="A22" s="4" t="s">
        <v>426</v>
      </c>
      <c r="B22" s="5" t="s">
        <v>427</v>
      </c>
      <c r="C22" s="5" t="s">
        <v>422</v>
      </c>
      <c r="D22" s="4" t="s">
        <v>891</v>
      </c>
      <c r="E22" s="4" t="s">
        <v>421</v>
      </c>
      <c r="F22" s="9">
        <v>25</v>
      </c>
      <c r="G22" s="10">
        <v>0</v>
      </c>
      <c r="H22" s="10">
        <v>0</v>
      </c>
    </row>
    <row r="23" spans="1:8" x14ac:dyDescent="0.25">
      <c r="A23" s="4" t="s">
        <v>428</v>
      </c>
      <c r="B23" s="5" t="s">
        <v>429</v>
      </c>
      <c r="C23" s="5" t="s">
        <v>422</v>
      </c>
      <c r="D23" s="4" t="s">
        <v>891</v>
      </c>
      <c r="E23" s="4" t="s">
        <v>421</v>
      </c>
      <c r="F23" s="9">
        <v>25</v>
      </c>
      <c r="G23" s="10">
        <v>0</v>
      </c>
      <c r="H23" s="10">
        <v>0.5</v>
      </c>
    </row>
    <row r="24" spans="1:8" x14ac:dyDescent="0.25">
      <c r="A24" s="4" t="s">
        <v>725</v>
      </c>
      <c r="B24" s="5" t="s">
        <v>727</v>
      </c>
      <c r="C24" s="5" t="s">
        <v>26</v>
      </c>
      <c r="D24" s="4" t="s">
        <v>889</v>
      </c>
      <c r="E24" s="4" t="s">
        <v>17</v>
      </c>
      <c r="F24" s="9">
        <v>26.4</v>
      </c>
      <c r="G24" s="10">
        <v>0</v>
      </c>
      <c r="H24" s="10">
        <v>0</v>
      </c>
    </row>
    <row r="25" spans="1:8" x14ac:dyDescent="0.25">
      <c r="A25" s="4" t="s">
        <v>713</v>
      </c>
      <c r="B25" s="5" t="s">
        <v>715</v>
      </c>
      <c r="C25" s="5" t="s">
        <v>422</v>
      </c>
      <c r="D25" s="4" t="s">
        <v>888</v>
      </c>
      <c r="E25" s="4" t="s">
        <v>894</v>
      </c>
      <c r="F25" s="9">
        <v>25</v>
      </c>
      <c r="G25" s="10">
        <v>0</v>
      </c>
      <c r="H25" s="10">
        <v>0.25</v>
      </c>
    </row>
    <row r="26" spans="1:8" x14ac:dyDescent="0.25">
      <c r="A26" s="4" t="s">
        <v>34</v>
      </c>
      <c r="B26" s="5" t="s">
        <v>36</v>
      </c>
      <c r="C26" s="5" t="s">
        <v>38</v>
      </c>
      <c r="D26" s="4" t="s">
        <v>890</v>
      </c>
      <c r="E26" s="4" t="s">
        <v>37</v>
      </c>
      <c r="F26" s="9">
        <v>22</v>
      </c>
      <c r="G26" s="10">
        <v>0</v>
      </c>
      <c r="H26" s="10">
        <v>0.56000000000000005</v>
      </c>
    </row>
    <row r="27" spans="1:8" x14ac:dyDescent="0.25">
      <c r="A27" s="4" t="s">
        <v>431</v>
      </c>
      <c r="B27" s="5" t="s">
        <v>433</v>
      </c>
      <c r="C27" s="5" t="s">
        <v>18</v>
      </c>
      <c r="D27" s="4" t="s">
        <v>889</v>
      </c>
      <c r="E27" s="4" t="s">
        <v>372</v>
      </c>
      <c r="F27" s="9">
        <v>30</v>
      </c>
      <c r="G27" s="10">
        <v>0</v>
      </c>
      <c r="H27" s="10">
        <v>0</v>
      </c>
    </row>
    <row r="28" spans="1:8" x14ac:dyDescent="0.25">
      <c r="A28" s="4" t="s">
        <v>434</v>
      </c>
      <c r="B28" s="5" t="s">
        <v>435</v>
      </c>
      <c r="C28" s="5" t="s">
        <v>26</v>
      </c>
      <c r="D28" s="4" t="s">
        <v>889</v>
      </c>
      <c r="E28" s="4" t="s">
        <v>376</v>
      </c>
      <c r="F28" s="9">
        <v>33</v>
      </c>
      <c r="G28" s="10">
        <v>0</v>
      </c>
      <c r="H28" s="10">
        <v>0.4</v>
      </c>
    </row>
    <row r="29" spans="1:8" x14ac:dyDescent="0.25">
      <c r="A29" s="4" t="s">
        <v>436</v>
      </c>
      <c r="B29" s="5" t="s">
        <v>437</v>
      </c>
      <c r="C29" s="5" t="s">
        <v>26</v>
      </c>
      <c r="D29" s="4" t="s">
        <v>889</v>
      </c>
      <c r="E29" s="4" t="s">
        <v>376</v>
      </c>
      <c r="F29" s="9">
        <v>33</v>
      </c>
      <c r="G29" s="10">
        <v>0</v>
      </c>
      <c r="H29" s="10">
        <v>0.4</v>
      </c>
    </row>
    <row r="30" spans="1:8" x14ac:dyDescent="0.25">
      <c r="A30" s="4" t="s">
        <v>438</v>
      </c>
      <c r="B30" s="5" t="s">
        <v>440</v>
      </c>
      <c r="C30" s="5" t="s">
        <v>26</v>
      </c>
      <c r="D30" s="4" t="s">
        <v>889</v>
      </c>
      <c r="E30" s="4" t="s">
        <v>372</v>
      </c>
      <c r="F30" s="9">
        <v>30</v>
      </c>
      <c r="G30" s="10">
        <v>0</v>
      </c>
      <c r="H30" s="10">
        <v>0</v>
      </c>
    </row>
    <row r="31" spans="1:8" x14ac:dyDescent="0.25">
      <c r="A31" s="4" t="s">
        <v>441</v>
      </c>
      <c r="B31" s="5" t="s">
        <v>443</v>
      </c>
      <c r="C31" s="5" t="s">
        <v>26</v>
      </c>
      <c r="D31" s="4" t="s">
        <v>889</v>
      </c>
      <c r="E31" s="4" t="s">
        <v>372</v>
      </c>
      <c r="F31" s="9">
        <v>30</v>
      </c>
      <c r="G31" s="10">
        <v>0</v>
      </c>
      <c r="H31" s="10">
        <v>0</v>
      </c>
    </row>
    <row r="32" spans="1:8" x14ac:dyDescent="0.25">
      <c r="A32" s="4" t="s">
        <v>40</v>
      </c>
      <c r="B32" s="5" t="s">
        <v>42</v>
      </c>
      <c r="C32" s="5" t="s">
        <v>18</v>
      </c>
      <c r="D32" s="4" t="s">
        <v>890</v>
      </c>
      <c r="E32" s="4" t="s">
        <v>43</v>
      </c>
      <c r="F32" s="9">
        <v>30</v>
      </c>
      <c r="G32" s="10">
        <v>0</v>
      </c>
      <c r="H32" s="10">
        <v>0</v>
      </c>
    </row>
    <row r="33" spans="1:8" x14ac:dyDescent="0.25">
      <c r="A33" s="4" t="s">
        <v>44</v>
      </c>
      <c r="B33" s="5" t="s">
        <v>46</v>
      </c>
      <c r="C33" s="5" t="s">
        <v>38</v>
      </c>
      <c r="D33" s="4" t="s">
        <v>890</v>
      </c>
      <c r="E33" s="4" t="s">
        <v>47</v>
      </c>
      <c r="F33" s="9">
        <v>36</v>
      </c>
      <c r="G33" s="10">
        <v>0</v>
      </c>
      <c r="H33" s="10">
        <v>0.2</v>
      </c>
    </row>
    <row r="34" spans="1:8" x14ac:dyDescent="0.25">
      <c r="A34" s="4" t="s">
        <v>837</v>
      </c>
      <c r="B34" s="5" t="s">
        <v>839</v>
      </c>
      <c r="C34" s="5" t="s">
        <v>26</v>
      </c>
      <c r="D34" s="4" t="s">
        <v>891</v>
      </c>
      <c r="E34" s="4" t="s">
        <v>43</v>
      </c>
      <c r="F34" s="9">
        <v>30</v>
      </c>
      <c r="G34" s="10">
        <v>0</v>
      </c>
      <c r="H34" s="10">
        <v>0</v>
      </c>
    </row>
    <row r="35" spans="1:8" x14ac:dyDescent="0.25">
      <c r="A35" s="4" t="s">
        <v>350</v>
      </c>
      <c r="B35" s="5" t="s">
        <v>352</v>
      </c>
      <c r="C35" s="5" t="s">
        <v>18</v>
      </c>
      <c r="D35" s="4" t="s">
        <v>895</v>
      </c>
      <c r="E35" s="4" t="s">
        <v>353</v>
      </c>
      <c r="F35" s="9">
        <v>15</v>
      </c>
      <c r="G35" s="10">
        <v>0</v>
      </c>
      <c r="H35" s="10">
        <v>0.75</v>
      </c>
    </row>
    <row r="36" spans="1:8" x14ac:dyDescent="0.25">
      <c r="A36" s="4" t="s">
        <v>354</v>
      </c>
      <c r="B36" s="5" t="s">
        <v>355</v>
      </c>
      <c r="C36" s="5" t="s">
        <v>18</v>
      </c>
      <c r="D36" s="4" t="s">
        <v>895</v>
      </c>
      <c r="E36" s="4" t="s">
        <v>353</v>
      </c>
      <c r="F36" s="9">
        <v>15</v>
      </c>
      <c r="G36" s="10">
        <v>0</v>
      </c>
      <c r="H36" s="10">
        <v>0.75</v>
      </c>
    </row>
    <row r="37" spans="1:8" x14ac:dyDescent="0.25">
      <c r="A37" s="4" t="s">
        <v>228</v>
      </c>
      <c r="B37" s="5" t="s">
        <v>230</v>
      </c>
      <c r="C37" s="5" t="s">
        <v>26</v>
      </c>
      <c r="D37" s="4" t="s">
        <v>893</v>
      </c>
      <c r="E37" s="4" t="s">
        <v>17</v>
      </c>
      <c r="F37" s="9">
        <v>27</v>
      </c>
      <c r="G37" s="10">
        <v>0</v>
      </c>
      <c r="H37" s="10">
        <v>0</v>
      </c>
    </row>
    <row r="38" spans="1:8" x14ac:dyDescent="0.25">
      <c r="A38" s="4" t="s">
        <v>231</v>
      </c>
      <c r="B38" s="5" t="s">
        <v>233</v>
      </c>
      <c r="C38" s="5" t="s">
        <v>18</v>
      </c>
      <c r="D38" s="4" t="s">
        <v>893</v>
      </c>
      <c r="E38" s="4" t="s">
        <v>17</v>
      </c>
      <c r="F38" s="9">
        <v>26.5</v>
      </c>
      <c r="G38" s="10">
        <v>0</v>
      </c>
      <c r="H38" s="10">
        <v>0</v>
      </c>
    </row>
    <row r="39" spans="1:8" x14ac:dyDescent="0.25">
      <c r="A39" s="4" t="s">
        <v>234</v>
      </c>
      <c r="B39" s="5" t="s">
        <v>235</v>
      </c>
      <c r="C39" s="5" t="s">
        <v>26</v>
      </c>
      <c r="D39" s="4" t="s">
        <v>893</v>
      </c>
      <c r="E39" s="4" t="s">
        <v>17</v>
      </c>
      <c r="F39" s="9">
        <v>27</v>
      </c>
      <c r="G39" s="10">
        <v>0</v>
      </c>
      <c r="H39" s="10">
        <v>0</v>
      </c>
    </row>
    <row r="40" spans="1:8" x14ac:dyDescent="0.25">
      <c r="A40" s="4" t="s">
        <v>236</v>
      </c>
      <c r="B40" s="5" t="s">
        <v>238</v>
      </c>
      <c r="C40" s="5" t="s">
        <v>26</v>
      </c>
      <c r="D40" s="4" t="s">
        <v>893</v>
      </c>
      <c r="E40" s="4" t="s">
        <v>239</v>
      </c>
      <c r="F40" s="9">
        <v>10</v>
      </c>
      <c r="G40" s="10">
        <v>0</v>
      </c>
      <c r="H40" s="10">
        <v>0</v>
      </c>
    </row>
    <row r="41" spans="1:8" x14ac:dyDescent="0.25">
      <c r="A41" s="4" t="s">
        <v>240</v>
      </c>
      <c r="B41" s="5" t="s">
        <v>241</v>
      </c>
      <c r="C41" s="5" t="s">
        <v>26</v>
      </c>
      <c r="D41" s="4" t="s">
        <v>893</v>
      </c>
      <c r="E41" s="4" t="s">
        <v>218</v>
      </c>
      <c r="F41" s="9">
        <v>20</v>
      </c>
      <c r="G41" s="10">
        <v>0</v>
      </c>
      <c r="H41" s="10">
        <v>0</v>
      </c>
    </row>
    <row r="42" spans="1:8" x14ac:dyDescent="0.25">
      <c r="A42" s="4" t="s">
        <v>242</v>
      </c>
      <c r="B42" s="5" t="s">
        <v>243</v>
      </c>
      <c r="C42" s="5" t="s">
        <v>26</v>
      </c>
      <c r="D42" s="4" t="s">
        <v>893</v>
      </c>
      <c r="E42" s="4" t="s">
        <v>218</v>
      </c>
      <c r="F42" s="9">
        <v>20</v>
      </c>
      <c r="G42" s="10">
        <v>0</v>
      </c>
      <c r="H42" s="10">
        <v>0</v>
      </c>
    </row>
    <row r="43" spans="1:8" x14ac:dyDescent="0.25">
      <c r="A43" s="4" t="s">
        <v>244</v>
      </c>
      <c r="B43" s="5" t="s">
        <v>245</v>
      </c>
      <c r="C43" s="5" t="s">
        <v>26</v>
      </c>
      <c r="D43" s="4" t="s">
        <v>893</v>
      </c>
      <c r="E43" s="4" t="s">
        <v>218</v>
      </c>
      <c r="F43" s="9">
        <v>20</v>
      </c>
      <c r="G43" s="10">
        <v>0</v>
      </c>
      <c r="H43" s="10">
        <v>0</v>
      </c>
    </row>
    <row r="44" spans="1:8" x14ac:dyDescent="0.25">
      <c r="A44" s="4" t="s">
        <v>621</v>
      </c>
      <c r="B44" s="5" t="s">
        <v>623</v>
      </c>
      <c r="C44" s="5" t="s">
        <v>26</v>
      </c>
      <c r="D44" s="4" t="s">
        <v>891</v>
      </c>
      <c r="E44" s="4" t="s">
        <v>17</v>
      </c>
      <c r="F44" s="9">
        <v>27</v>
      </c>
      <c r="G44" s="10">
        <v>0</v>
      </c>
      <c r="H44" s="10">
        <v>0.5</v>
      </c>
    </row>
    <row r="45" spans="1:8" x14ac:dyDescent="0.25">
      <c r="A45" s="4" t="s">
        <v>49</v>
      </c>
      <c r="B45" s="5" t="s">
        <v>51</v>
      </c>
      <c r="C45" s="5" t="s">
        <v>52</v>
      </c>
      <c r="D45" s="4" t="s">
        <v>890</v>
      </c>
      <c r="E45" s="4" t="s">
        <v>37</v>
      </c>
      <c r="F45" s="9">
        <v>22</v>
      </c>
      <c r="G45" s="10">
        <v>0</v>
      </c>
      <c r="H45" s="10">
        <v>0.4</v>
      </c>
    </row>
    <row r="46" spans="1:8" x14ac:dyDescent="0.25">
      <c r="A46" s="4" t="s">
        <v>53</v>
      </c>
      <c r="B46" s="5" t="s">
        <v>54</v>
      </c>
      <c r="C46" s="5" t="s">
        <v>52</v>
      </c>
      <c r="D46" s="4" t="s">
        <v>890</v>
      </c>
      <c r="E46" s="4" t="s">
        <v>37</v>
      </c>
      <c r="F46" s="9">
        <v>22</v>
      </c>
      <c r="G46" s="10">
        <v>0</v>
      </c>
      <c r="H46" s="10">
        <v>0.4</v>
      </c>
    </row>
    <row r="47" spans="1:8" x14ac:dyDescent="0.25">
      <c r="A47" s="4" t="s">
        <v>457</v>
      </c>
      <c r="B47" s="5" t="s">
        <v>459</v>
      </c>
      <c r="C47" s="5" t="s">
        <v>26</v>
      </c>
      <c r="D47" s="4" t="s">
        <v>891</v>
      </c>
      <c r="E47" s="4" t="s">
        <v>294</v>
      </c>
      <c r="F47" s="9">
        <v>30</v>
      </c>
      <c r="G47" s="10">
        <v>0</v>
      </c>
      <c r="H47" s="10">
        <v>0</v>
      </c>
    </row>
    <row r="48" spans="1:8" x14ac:dyDescent="0.25">
      <c r="A48" s="4" t="s">
        <v>246</v>
      </c>
      <c r="B48" s="5" t="s">
        <v>248</v>
      </c>
      <c r="C48" s="5" t="s">
        <v>18</v>
      </c>
      <c r="D48" s="4" t="s">
        <v>893</v>
      </c>
      <c r="E48" s="4" t="s">
        <v>249</v>
      </c>
      <c r="F48" s="9">
        <v>15</v>
      </c>
      <c r="G48" s="10">
        <v>0</v>
      </c>
      <c r="H48" s="10">
        <v>0</v>
      </c>
    </row>
    <row r="49" spans="1:8" x14ac:dyDescent="0.25">
      <c r="A49" s="4" t="s">
        <v>250</v>
      </c>
      <c r="B49" s="5" t="s">
        <v>251</v>
      </c>
      <c r="C49" s="5" t="s">
        <v>18</v>
      </c>
      <c r="D49" s="4" t="s">
        <v>893</v>
      </c>
      <c r="E49" s="4" t="s">
        <v>249</v>
      </c>
      <c r="F49" s="9">
        <v>15</v>
      </c>
      <c r="G49" s="10">
        <v>0</v>
      </c>
      <c r="H49" s="10">
        <v>0</v>
      </c>
    </row>
    <row r="50" spans="1:8" x14ac:dyDescent="0.25">
      <c r="A50" s="4" t="s">
        <v>252</v>
      </c>
      <c r="B50" s="5" t="s">
        <v>254</v>
      </c>
      <c r="C50" s="5" t="s">
        <v>26</v>
      </c>
      <c r="D50" s="4" t="s">
        <v>893</v>
      </c>
      <c r="E50" s="4" t="s">
        <v>160</v>
      </c>
      <c r="F50" s="9">
        <v>18</v>
      </c>
      <c r="G50" s="10">
        <v>0</v>
      </c>
      <c r="H50" s="10">
        <v>0.6</v>
      </c>
    </row>
    <row r="51" spans="1:8" x14ac:dyDescent="0.25">
      <c r="A51" s="4" t="s">
        <v>258</v>
      </c>
      <c r="B51" s="5" t="s">
        <v>260</v>
      </c>
      <c r="C51" s="5" t="s">
        <v>26</v>
      </c>
      <c r="D51" s="4" t="s">
        <v>893</v>
      </c>
      <c r="E51" s="4" t="s">
        <v>17</v>
      </c>
      <c r="F51" s="9">
        <v>26</v>
      </c>
      <c r="G51" s="10">
        <v>0</v>
      </c>
      <c r="H51" s="10">
        <v>0</v>
      </c>
    </row>
    <row r="52" spans="1:8" x14ac:dyDescent="0.25">
      <c r="A52" s="4" t="s">
        <v>157</v>
      </c>
      <c r="B52" s="5" t="s">
        <v>159</v>
      </c>
      <c r="C52" s="5" t="s">
        <v>26</v>
      </c>
      <c r="D52" s="4" t="s">
        <v>896</v>
      </c>
      <c r="E52" s="4" t="s">
        <v>160</v>
      </c>
      <c r="F52" s="9">
        <v>20</v>
      </c>
      <c r="G52" s="10">
        <v>0</v>
      </c>
      <c r="H52" s="10">
        <v>0.2</v>
      </c>
    </row>
    <row r="53" spans="1:8" x14ac:dyDescent="0.25">
      <c r="A53" s="4" t="s">
        <v>162</v>
      </c>
      <c r="B53" s="5" t="s">
        <v>164</v>
      </c>
      <c r="C53" s="5" t="s">
        <v>26</v>
      </c>
      <c r="D53" s="4" t="s">
        <v>896</v>
      </c>
      <c r="E53" s="4" t="s">
        <v>160</v>
      </c>
      <c r="F53" s="9">
        <v>18</v>
      </c>
      <c r="G53" s="10">
        <v>0</v>
      </c>
      <c r="H53" s="10">
        <v>0.2</v>
      </c>
    </row>
    <row r="54" spans="1:8" x14ac:dyDescent="0.25">
      <c r="A54" s="4" t="s">
        <v>261</v>
      </c>
      <c r="B54" s="5" t="s">
        <v>263</v>
      </c>
      <c r="C54" s="5" t="s">
        <v>61</v>
      </c>
      <c r="D54" s="4" t="s">
        <v>893</v>
      </c>
      <c r="E54" s="4" t="s">
        <v>90</v>
      </c>
      <c r="F54" s="9">
        <v>30</v>
      </c>
      <c r="G54" s="10">
        <v>0</v>
      </c>
      <c r="H54" s="10">
        <v>0</v>
      </c>
    </row>
    <row r="55" spans="1:8" x14ac:dyDescent="0.25">
      <c r="A55" s="4" t="s">
        <v>55</v>
      </c>
      <c r="B55" s="5" t="s">
        <v>57</v>
      </c>
      <c r="C55" s="5" t="s">
        <v>18</v>
      </c>
      <c r="D55" s="4" t="s">
        <v>889</v>
      </c>
      <c r="E55" s="4" t="s">
        <v>17</v>
      </c>
      <c r="F55" s="9">
        <v>26.25</v>
      </c>
      <c r="G55" s="10">
        <v>0</v>
      </c>
      <c r="H55" s="10">
        <v>0.5</v>
      </c>
    </row>
    <row r="56" spans="1:8" x14ac:dyDescent="0.25">
      <c r="A56" s="4" t="s">
        <v>769</v>
      </c>
      <c r="B56" s="5" t="s">
        <v>771</v>
      </c>
      <c r="C56" s="5" t="s">
        <v>26</v>
      </c>
      <c r="D56" s="4" t="s">
        <v>890</v>
      </c>
      <c r="E56" s="4" t="s">
        <v>772</v>
      </c>
      <c r="F56" s="9">
        <v>10</v>
      </c>
      <c r="G56" s="10">
        <v>0</v>
      </c>
      <c r="H56" s="10">
        <v>0</v>
      </c>
    </row>
    <row r="57" spans="1:8" x14ac:dyDescent="0.25">
      <c r="A57" s="4" t="s">
        <v>773</v>
      </c>
      <c r="B57" s="5" t="s">
        <v>775</v>
      </c>
      <c r="C57" s="5" t="s">
        <v>26</v>
      </c>
      <c r="D57" s="4" t="s">
        <v>897</v>
      </c>
      <c r="E57" s="4" t="s">
        <v>898</v>
      </c>
      <c r="F57" s="9">
        <v>10</v>
      </c>
      <c r="G57" s="10">
        <v>0</v>
      </c>
      <c r="H57" s="10">
        <v>0.5</v>
      </c>
    </row>
    <row r="58" spans="1:8" x14ac:dyDescent="0.25">
      <c r="A58" s="4" t="s">
        <v>776</v>
      </c>
      <c r="B58" s="5" t="s">
        <v>778</v>
      </c>
      <c r="C58" s="5" t="s">
        <v>26</v>
      </c>
      <c r="D58" s="4" t="s">
        <v>897</v>
      </c>
      <c r="E58" s="4" t="s">
        <v>37</v>
      </c>
      <c r="F58" s="9">
        <v>22</v>
      </c>
      <c r="G58" s="10">
        <v>0</v>
      </c>
      <c r="H58" s="10">
        <v>0.6</v>
      </c>
    </row>
    <row r="59" spans="1:8" x14ac:dyDescent="0.25">
      <c r="A59" s="4" t="s">
        <v>779</v>
      </c>
      <c r="B59" s="5" t="s">
        <v>781</v>
      </c>
      <c r="C59" s="5" t="s">
        <v>26</v>
      </c>
      <c r="D59" s="4" t="s">
        <v>897</v>
      </c>
      <c r="E59" s="4" t="s">
        <v>299</v>
      </c>
      <c r="F59" s="9">
        <v>10</v>
      </c>
      <c r="G59" s="10">
        <v>0</v>
      </c>
      <c r="H59" s="10">
        <v>0</v>
      </c>
    </row>
    <row r="60" spans="1:8" x14ac:dyDescent="0.25">
      <c r="A60" s="4" t="s">
        <v>782</v>
      </c>
      <c r="B60" s="5" t="s">
        <v>784</v>
      </c>
      <c r="C60" s="5" t="s">
        <v>26</v>
      </c>
      <c r="D60" s="4" t="s">
        <v>897</v>
      </c>
      <c r="E60" s="4" t="s">
        <v>772</v>
      </c>
      <c r="F60" s="9">
        <v>10</v>
      </c>
      <c r="G60" s="10">
        <v>0</v>
      </c>
      <c r="H60" s="10">
        <v>0</v>
      </c>
    </row>
    <row r="61" spans="1:8" x14ac:dyDescent="0.25">
      <c r="A61" s="4" t="s">
        <v>785</v>
      </c>
      <c r="B61" s="5" t="s">
        <v>787</v>
      </c>
      <c r="C61" s="5" t="s">
        <v>26</v>
      </c>
      <c r="D61" s="4" t="s">
        <v>891</v>
      </c>
      <c r="E61" s="4" t="s">
        <v>376</v>
      </c>
      <c r="F61" s="9">
        <v>33</v>
      </c>
      <c r="G61" s="10">
        <v>0</v>
      </c>
      <c r="H61" s="10">
        <v>0</v>
      </c>
    </row>
    <row r="62" spans="1:8" x14ac:dyDescent="0.25">
      <c r="A62" s="4" t="s">
        <v>788</v>
      </c>
      <c r="B62" s="5" t="s">
        <v>790</v>
      </c>
      <c r="C62" s="5" t="s">
        <v>26</v>
      </c>
      <c r="D62" s="4" t="s">
        <v>891</v>
      </c>
      <c r="E62" s="4" t="s">
        <v>791</v>
      </c>
      <c r="F62" s="9">
        <v>37.5</v>
      </c>
      <c r="G62" s="10">
        <v>0</v>
      </c>
      <c r="H62" s="10">
        <v>0</v>
      </c>
    </row>
    <row r="63" spans="1:8" x14ac:dyDescent="0.25">
      <c r="A63" s="4" t="s">
        <v>792</v>
      </c>
      <c r="B63" s="5" t="s">
        <v>794</v>
      </c>
      <c r="C63" s="5" t="s">
        <v>26</v>
      </c>
      <c r="D63" s="4" t="s">
        <v>899</v>
      </c>
      <c r="E63" s="4" t="s">
        <v>795</v>
      </c>
      <c r="F63" s="9">
        <v>15</v>
      </c>
      <c r="G63" s="10">
        <v>0</v>
      </c>
      <c r="H63" s="10">
        <v>0</v>
      </c>
    </row>
    <row r="64" spans="1:8" x14ac:dyDescent="0.25">
      <c r="A64" s="4" t="s">
        <v>796</v>
      </c>
      <c r="B64" s="5" t="s">
        <v>797</v>
      </c>
      <c r="C64" s="5" t="s">
        <v>26</v>
      </c>
      <c r="D64" s="4" t="s">
        <v>899</v>
      </c>
      <c r="E64" s="4" t="s">
        <v>795</v>
      </c>
      <c r="F64" s="9">
        <v>15</v>
      </c>
      <c r="G64" s="10">
        <v>0</v>
      </c>
      <c r="H64" s="10">
        <v>0</v>
      </c>
    </row>
    <row r="65" spans="1:8" x14ac:dyDescent="0.25">
      <c r="A65" s="4" t="s">
        <v>470</v>
      </c>
      <c r="B65" s="5" t="s">
        <v>472</v>
      </c>
      <c r="C65" s="5" t="s">
        <v>26</v>
      </c>
      <c r="D65" s="4" t="s">
        <v>889</v>
      </c>
      <c r="E65" s="4" t="s">
        <v>376</v>
      </c>
      <c r="F65" s="9">
        <v>33</v>
      </c>
      <c r="G65" s="10">
        <v>0</v>
      </c>
      <c r="H65" s="10">
        <v>0.4</v>
      </c>
    </row>
    <row r="66" spans="1:8" x14ac:dyDescent="0.25">
      <c r="A66" s="4" t="s">
        <v>473</v>
      </c>
      <c r="B66" s="5" t="s">
        <v>474</v>
      </c>
      <c r="C66" s="5" t="s">
        <v>61</v>
      </c>
      <c r="D66" s="4" t="s">
        <v>889</v>
      </c>
      <c r="E66" s="4" t="s">
        <v>376</v>
      </c>
      <c r="F66" s="9">
        <v>33</v>
      </c>
      <c r="G66" s="10">
        <v>0</v>
      </c>
      <c r="H66" s="10">
        <v>0.8</v>
      </c>
    </row>
    <row r="67" spans="1:8" x14ac:dyDescent="0.25">
      <c r="A67" s="4" t="s">
        <v>475</v>
      </c>
      <c r="B67" s="5" t="s">
        <v>476</v>
      </c>
      <c r="C67" s="5" t="s">
        <v>61</v>
      </c>
      <c r="D67" s="4" t="s">
        <v>889</v>
      </c>
      <c r="E67" s="4" t="s">
        <v>376</v>
      </c>
      <c r="F67" s="9">
        <v>33</v>
      </c>
      <c r="G67" s="10">
        <v>0</v>
      </c>
      <c r="H67" s="10">
        <v>0.1</v>
      </c>
    </row>
    <row r="68" spans="1:8" x14ac:dyDescent="0.25">
      <c r="A68" s="4" t="s">
        <v>356</v>
      </c>
      <c r="B68" s="5" t="s">
        <v>358</v>
      </c>
      <c r="C68" s="5" t="s">
        <v>26</v>
      </c>
      <c r="D68" s="4" t="s">
        <v>895</v>
      </c>
      <c r="E68" s="4" t="s">
        <v>359</v>
      </c>
      <c r="F68" s="9">
        <v>22</v>
      </c>
      <c r="G68" s="10">
        <v>0</v>
      </c>
      <c r="H68" s="10">
        <v>0.8</v>
      </c>
    </row>
    <row r="69" spans="1:8" x14ac:dyDescent="0.25">
      <c r="A69" s="4" t="s">
        <v>361</v>
      </c>
      <c r="B69" s="5" t="s">
        <v>362</v>
      </c>
      <c r="C69" s="5" t="s">
        <v>26</v>
      </c>
      <c r="D69" s="4" t="s">
        <v>895</v>
      </c>
      <c r="E69" s="4" t="s">
        <v>359</v>
      </c>
      <c r="F69" s="9">
        <v>22</v>
      </c>
      <c r="G69" s="10">
        <v>0</v>
      </c>
      <c r="H69" s="10">
        <v>0.8</v>
      </c>
    </row>
    <row r="70" spans="1:8" x14ac:dyDescent="0.25">
      <c r="A70" s="4" t="s">
        <v>478</v>
      </c>
      <c r="B70" s="5" t="s">
        <v>480</v>
      </c>
      <c r="C70" s="5" t="s">
        <v>26</v>
      </c>
      <c r="D70" s="4" t="s">
        <v>891</v>
      </c>
      <c r="E70" s="4" t="s">
        <v>376</v>
      </c>
      <c r="F70" s="9">
        <v>33</v>
      </c>
      <c r="G70" s="10">
        <v>0</v>
      </c>
      <c r="H70" s="10">
        <v>0.4</v>
      </c>
    </row>
    <row r="71" spans="1:8" x14ac:dyDescent="0.25">
      <c r="A71" s="4" t="s">
        <v>481</v>
      </c>
      <c r="B71" s="5" t="s">
        <v>483</v>
      </c>
      <c r="C71" s="5" t="s">
        <v>26</v>
      </c>
      <c r="D71" s="4" t="s">
        <v>891</v>
      </c>
      <c r="E71" s="4" t="s">
        <v>484</v>
      </c>
      <c r="F71" s="9">
        <v>50</v>
      </c>
      <c r="G71" s="10">
        <v>0</v>
      </c>
      <c r="H71" s="10">
        <v>0</v>
      </c>
    </row>
    <row r="72" spans="1:8" x14ac:dyDescent="0.25">
      <c r="A72" s="4" t="s">
        <v>485</v>
      </c>
      <c r="B72" s="5" t="s">
        <v>486</v>
      </c>
      <c r="C72" s="5" t="s">
        <v>26</v>
      </c>
      <c r="D72" s="4" t="s">
        <v>891</v>
      </c>
      <c r="E72" s="4" t="s">
        <v>487</v>
      </c>
      <c r="F72" s="9">
        <v>35</v>
      </c>
      <c r="G72" s="10">
        <v>0</v>
      </c>
      <c r="H72" s="10">
        <v>0</v>
      </c>
    </row>
    <row r="73" spans="1:8" x14ac:dyDescent="0.25">
      <c r="A73" s="4" t="s">
        <v>165</v>
      </c>
      <c r="B73" s="5" t="s">
        <v>167</v>
      </c>
      <c r="C73" s="5" t="s">
        <v>26</v>
      </c>
      <c r="D73" s="4" t="s">
        <v>896</v>
      </c>
      <c r="E73" s="4" t="s">
        <v>17</v>
      </c>
      <c r="F73" s="9">
        <v>26</v>
      </c>
      <c r="G73" s="10">
        <v>0</v>
      </c>
      <c r="H73" s="10">
        <v>0</v>
      </c>
    </row>
    <row r="74" spans="1:8" x14ac:dyDescent="0.25">
      <c r="A74" s="4" t="s">
        <v>798</v>
      </c>
      <c r="B74" s="5" t="s">
        <v>800</v>
      </c>
      <c r="C74" s="5" t="s">
        <v>26</v>
      </c>
      <c r="D74" s="4" t="s">
        <v>896</v>
      </c>
      <c r="E74" s="4" t="s">
        <v>160</v>
      </c>
      <c r="F74" s="9">
        <v>24</v>
      </c>
      <c r="G74" s="10">
        <v>0</v>
      </c>
      <c r="H74" s="10">
        <v>0.8</v>
      </c>
    </row>
    <row r="75" spans="1:8" x14ac:dyDescent="0.25">
      <c r="A75" s="4" t="s">
        <v>192</v>
      </c>
      <c r="B75" s="5" t="s">
        <v>194</v>
      </c>
      <c r="C75" s="5" t="s">
        <v>18</v>
      </c>
      <c r="D75" s="4" t="s">
        <v>900</v>
      </c>
      <c r="E75" s="4" t="s">
        <v>195</v>
      </c>
      <c r="F75" s="9">
        <v>30</v>
      </c>
      <c r="G75" s="10">
        <v>0</v>
      </c>
      <c r="H75" s="10">
        <v>0</v>
      </c>
    </row>
    <row r="76" spans="1:8" x14ac:dyDescent="0.25">
      <c r="A76" s="4" t="s">
        <v>196</v>
      </c>
      <c r="B76" s="5" t="s">
        <v>198</v>
      </c>
      <c r="C76" s="5" t="s">
        <v>26</v>
      </c>
      <c r="D76" s="4" t="s">
        <v>900</v>
      </c>
      <c r="E76" s="4" t="s">
        <v>195</v>
      </c>
      <c r="F76" s="9">
        <v>30</v>
      </c>
      <c r="G76" s="10">
        <v>0</v>
      </c>
      <c r="H76" s="10">
        <v>0</v>
      </c>
    </row>
    <row r="77" spans="1:8" x14ac:dyDescent="0.25">
      <c r="A77" s="4" t="s">
        <v>199</v>
      </c>
      <c r="B77" s="5" t="s">
        <v>200</v>
      </c>
      <c r="C77" s="5" t="s">
        <v>18</v>
      </c>
      <c r="D77" s="4" t="s">
        <v>900</v>
      </c>
      <c r="E77" s="4" t="s">
        <v>195</v>
      </c>
      <c r="F77" s="9">
        <v>30</v>
      </c>
      <c r="G77" s="10">
        <v>0</v>
      </c>
      <c r="H77" s="10">
        <v>0</v>
      </c>
    </row>
    <row r="78" spans="1:8" x14ac:dyDescent="0.25">
      <c r="A78" s="4" t="s">
        <v>201</v>
      </c>
      <c r="B78" s="5" t="s">
        <v>202</v>
      </c>
      <c r="C78" s="5" t="s">
        <v>18</v>
      </c>
      <c r="D78" s="4" t="s">
        <v>900</v>
      </c>
      <c r="E78" s="4" t="s">
        <v>43</v>
      </c>
      <c r="F78" s="9">
        <v>30</v>
      </c>
      <c r="G78" s="10">
        <v>0</v>
      </c>
      <c r="H78" s="10">
        <v>0</v>
      </c>
    </row>
    <row r="79" spans="1:8" x14ac:dyDescent="0.25">
      <c r="A79" s="4" t="s">
        <v>203</v>
      </c>
      <c r="B79" s="5" t="s">
        <v>204</v>
      </c>
      <c r="C79" s="5" t="s">
        <v>26</v>
      </c>
      <c r="D79" s="4" t="s">
        <v>900</v>
      </c>
      <c r="E79" s="4" t="s">
        <v>195</v>
      </c>
      <c r="F79" s="9">
        <v>30</v>
      </c>
      <c r="G79" s="10">
        <v>0</v>
      </c>
      <c r="H79" s="10">
        <v>0</v>
      </c>
    </row>
    <row r="80" spans="1:8" x14ac:dyDescent="0.25">
      <c r="A80" s="4" t="s">
        <v>205</v>
      </c>
      <c r="B80" s="5" t="s">
        <v>206</v>
      </c>
      <c r="C80" s="5" t="s">
        <v>18</v>
      </c>
      <c r="D80" s="4" t="s">
        <v>900</v>
      </c>
      <c r="E80" s="4" t="s">
        <v>195</v>
      </c>
      <c r="F80" s="9">
        <v>30</v>
      </c>
      <c r="G80" s="10">
        <v>0</v>
      </c>
      <c r="H80" s="10">
        <v>0</v>
      </c>
    </row>
    <row r="81" spans="1:8" x14ac:dyDescent="0.25">
      <c r="A81" s="4" t="s">
        <v>207</v>
      </c>
      <c r="B81" s="5" t="s">
        <v>208</v>
      </c>
      <c r="C81" s="5" t="s">
        <v>26</v>
      </c>
      <c r="D81" s="4" t="s">
        <v>900</v>
      </c>
      <c r="E81" s="4" t="s">
        <v>195</v>
      </c>
      <c r="F81" s="9">
        <v>30</v>
      </c>
      <c r="G81" s="10">
        <v>0</v>
      </c>
      <c r="H81" s="10">
        <v>0</v>
      </c>
    </row>
    <row r="82" spans="1:8" x14ac:dyDescent="0.25">
      <c r="A82" s="4" t="s">
        <v>209</v>
      </c>
      <c r="B82" s="5" t="s">
        <v>210</v>
      </c>
      <c r="C82" s="5" t="s">
        <v>18</v>
      </c>
      <c r="D82" s="4" t="s">
        <v>900</v>
      </c>
      <c r="E82" s="4" t="s">
        <v>195</v>
      </c>
      <c r="F82" s="9">
        <v>30</v>
      </c>
      <c r="G82" s="10">
        <v>0</v>
      </c>
      <c r="H82" s="10">
        <v>0</v>
      </c>
    </row>
    <row r="83" spans="1:8" x14ac:dyDescent="0.25">
      <c r="A83" s="4" t="s">
        <v>211</v>
      </c>
      <c r="B83" s="5" t="s">
        <v>212</v>
      </c>
      <c r="C83" s="5" t="s">
        <v>18</v>
      </c>
      <c r="D83" s="4" t="s">
        <v>900</v>
      </c>
      <c r="E83" s="4" t="s">
        <v>213</v>
      </c>
      <c r="F83" s="9">
        <v>22</v>
      </c>
      <c r="G83" s="10">
        <v>0</v>
      </c>
      <c r="H83" s="10">
        <v>0</v>
      </c>
    </row>
    <row r="84" spans="1:8" x14ac:dyDescent="0.25">
      <c r="A84" s="4" t="s">
        <v>103</v>
      </c>
      <c r="B84" s="5" t="s">
        <v>105</v>
      </c>
      <c r="C84" s="5" t="s">
        <v>26</v>
      </c>
      <c r="D84" s="4" t="s">
        <v>899</v>
      </c>
      <c r="E84" s="4" t="s">
        <v>901</v>
      </c>
      <c r="F84" s="9">
        <v>24</v>
      </c>
      <c r="G84" s="10">
        <v>0</v>
      </c>
      <c r="H84" s="10">
        <v>0.6</v>
      </c>
    </row>
    <row r="85" spans="1:8" x14ac:dyDescent="0.25">
      <c r="A85" s="4" t="s">
        <v>107</v>
      </c>
      <c r="B85" s="5" t="s">
        <v>108</v>
      </c>
      <c r="C85" s="5" t="s">
        <v>26</v>
      </c>
      <c r="D85" s="4" t="s">
        <v>899</v>
      </c>
      <c r="E85" s="4" t="s">
        <v>25</v>
      </c>
      <c r="F85" s="9">
        <v>24</v>
      </c>
      <c r="G85" s="10">
        <v>0</v>
      </c>
      <c r="H85" s="10">
        <v>0</v>
      </c>
    </row>
    <row r="86" spans="1:8" x14ac:dyDescent="0.25">
      <c r="A86" s="4" t="s">
        <v>109</v>
      </c>
      <c r="B86" s="5" t="s">
        <v>110</v>
      </c>
      <c r="C86" s="5" t="s">
        <v>26</v>
      </c>
      <c r="D86" s="4" t="s">
        <v>899</v>
      </c>
      <c r="E86" s="4" t="s">
        <v>25</v>
      </c>
      <c r="F86" s="9">
        <v>24</v>
      </c>
      <c r="G86" s="10">
        <v>0</v>
      </c>
      <c r="H86" s="10">
        <v>0</v>
      </c>
    </row>
    <row r="87" spans="1:8" x14ac:dyDescent="0.25">
      <c r="A87" s="4" t="s">
        <v>111</v>
      </c>
      <c r="B87" s="5" t="s">
        <v>112</v>
      </c>
      <c r="C87" s="5" t="s">
        <v>26</v>
      </c>
      <c r="D87" s="4" t="s">
        <v>899</v>
      </c>
      <c r="E87" s="4" t="s">
        <v>902</v>
      </c>
      <c r="F87" s="9">
        <v>24</v>
      </c>
      <c r="G87" s="10">
        <v>0</v>
      </c>
      <c r="H87" s="10">
        <v>0</v>
      </c>
    </row>
    <row r="88" spans="1:8" x14ac:dyDescent="0.25">
      <c r="A88" s="4" t="s">
        <v>614</v>
      </c>
      <c r="B88" s="5" t="s">
        <v>616</v>
      </c>
      <c r="C88" s="5" t="s">
        <v>312</v>
      </c>
      <c r="D88" s="4" t="s">
        <v>891</v>
      </c>
      <c r="E88" s="4" t="s">
        <v>177</v>
      </c>
      <c r="F88" s="9">
        <v>40</v>
      </c>
      <c r="G88" s="10">
        <v>0</v>
      </c>
      <c r="H88" s="10">
        <v>0</v>
      </c>
    </row>
    <row r="89" spans="1:8" x14ac:dyDescent="0.25">
      <c r="A89" s="4" t="s">
        <v>617</v>
      </c>
      <c r="B89" s="5" t="s">
        <v>618</v>
      </c>
      <c r="C89" s="5" t="s">
        <v>312</v>
      </c>
      <c r="D89" s="4" t="s">
        <v>891</v>
      </c>
      <c r="E89" s="4" t="s">
        <v>177</v>
      </c>
      <c r="F89" s="9">
        <v>40</v>
      </c>
      <c r="G89" s="10">
        <v>0</v>
      </c>
      <c r="H89" s="10">
        <v>0</v>
      </c>
    </row>
    <row r="90" spans="1:8" x14ac:dyDescent="0.25">
      <c r="A90" s="4" t="s">
        <v>619</v>
      </c>
      <c r="B90" s="5" t="s">
        <v>620</v>
      </c>
      <c r="C90" s="5" t="s">
        <v>312</v>
      </c>
      <c r="D90" s="4" t="s">
        <v>891</v>
      </c>
      <c r="E90" s="4" t="s">
        <v>177</v>
      </c>
      <c r="F90" s="9">
        <v>40</v>
      </c>
      <c r="G90" s="10">
        <v>0</v>
      </c>
      <c r="H90" s="10">
        <v>0</v>
      </c>
    </row>
    <row r="91" spans="1:8" x14ac:dyDescent="0.25">
      <c r="A91" s="4" t="s">
        <v>500</v>
      </c>
      <c r="B91" s="5" t="s">
        <v>502</v>
      </c>
      <c r="C91" s="5" t="s">
        <v>398</v>
      </c>
      <c r="D91" s="4" t="s">
        <v>891</v>
      </c>
      <c r="E91" s="4" t="s">
        <v>17</v>
      </c>
      <c r="F91" s="9">
        <v>26.25</v>
      </c>
      <c r="G91" s="10">
        <v>0</v>
      </c>
      <c r="H91" s="10">
        <v>0</v>
      </c>
    </row>
    <row r="92" spans="1:8" x14ac:dyDescent="0.25">
      <c r="A92" s="4" t="s">
        <v>180</v>
      </c>
      <c r="B92" s="5" t="s">
        <v>182</v>
      </c>
      <c r="C92" s="5" t="s">
        <v>18</v>
      </c>
      <c r="D92" s="4" t="s">
        <v>892</v>
      </c>
      <c r="E92" s="4" t="s">
        <v>177</v>
      </c>
      <c r="F92" s="9">
        <v>40</v>
      </c>
      <c r="G92" s="10">
        <v>0</v>
      </c>
      <c r="H92" s="10">
        <v>0</v>
      </c>
    </row>
    <row r="93" spans="1:8" x14ac:dyDescent="0.25">
      <c r="A93" s="4" t="s">
        <v>183</v>
      </c>
      <c r="B93" s="5" t="s">
        <v>184</v>
      </c>
      <c r="C93" s="5" t="s">
        <v>18</v>
      </c>
      <c r="D93" s="4" t="s">
        <v>892</v>
      </c>
      <c r="E93" s="4" t="s">
        <v>177</v>
      </c>
      <c r="F93" s="9">
        <v>40</v>
      </c>
      <c r="G93" s="10">
        <v>0</v>
      </c>
      <c r="H93" s="10">
        <v>0</v>
      </c>
    </row>
    <row r="94" spans="1:8" x14ac:dyDescent="0.25">
      <c r="A94" s="4" t="s">
        <v>185</v>
      </c>
      <c r="B94" s="5" t="s">
        <v>186</v>
      </c>
      <c r="C94" s="5" t="s">
        <v>18</v>
      </c>
      <c r="D94" s="4" t="s">
        <v>892</v>
      </c>
      <c r="E94" s="4" t="s">
        <v>177</v>
      </c>
      <c r="F94" s="9">
        <v>40</v>
      </c>
      <c r="G94" s="10">
        <v>0</v>
      </c>
      <c r="H94" s="10">
        <v>0</v>
      </c>
    </row>
    <row r="95" spans="1:8" x14ac:dyDescent="0.25">
      <c r="A95" s="4" t="s">
        <v>187</v>
      </c>
      <c r="B95" s="5" t="s">
        <v>188</v>
      </c>
      <c r="C95" s="5" t="s">
        <v>18</v>
      </c>
      <c r="D95" s="4" t="s">
        <v>892</v>
      </c>
      <c r="E95" s="4" t="s">
        <v>177</v>
      </c>
      <c r="F95" s="9">
        <v>40</v>
      </c>
      <c r="G95" s="10">
        <v>0</v>
      </c>
      <c r="H95" s="10">
        <v>0</v>
      </c>
    </row>
    <row r="96" spans="1:8" x14ac:dyDescent="0.25">
      <c r="A96" s="4" t="s">
        <v>189</v>
      </c>
      <c r="B96" s="5" t="s">
        <v>190</v>
      </c>
      <c r="C96" s="5" t="s">
        <v>18</v>
      </c>
      <c r="D96" s="4" t="s">
        <v>892</v>
      </c>
      <c r="E96" s="4" t="s">
        <v>177</v>
      </c>
      <c r="F96" s="9">
        <v>40</v>
      </c>
      <c r="G96" s="10">
        <v>0</v>
      </c>
      <c r="H96" s="10">
        <v>0</v>
      </c>
    </row>
    <row r="97" spans="1:8" x14ac:dyDescent="0.25">
      <c r="A97" s="4" t="s">
        <v>728</v>
      </c>
      <c r="B97" s="5" t="s">
        <v>730</v>
      </c>
      <c r="C97" s="5" t="s">
        <v>26</v>
      </c>
      <c r="D97" s="4" t="s">
        <v>889</v>
      </c>
      <c r="E97" s="4" t="s">
        <v>17</v>
      </c>
      <c r="F97" s="9">
        <v>30</v>
      </c>
      <c r="G97" s="10">
        <v>0</v>
      </c>
      <c r="H97" s="10">
        <v>0</v>
      </c>
    </row>
    <row r="98" spans="1:8" x14ac:dyDescent="0.25">
      <c r="A98" s="4" t="s">
        <v>840</v>
      </c>
      <c r="B98" s="5" t="s">
        <v>842</v>
      </c>
      <c r="C98" s="5" t="s">
        <v>26</v>
      </c>
      <c r="D98" s="4" t="s">
        <v>903</v>
      </c>
      <c r="E98" s="4" t="s">
        <v>43</v>
      </c>
      <c r="F98" s="9">
        <v>30</v>
      </c>
      <c r="G98" s="10">
        <v>0</v>
      </c>
      <c r="H98" s="10">
        <v>0.5</v>
      </c>
    </row>
    <row r="99" spans="1:8" x14ac:dyDescent="0.25">
      <c r="A99" s="4" t="s">
        <v>824</v>
      </c>
      <c r="B99" s="5" t="s">
        <v>826</v>
      </c>
      <c r="C99" s="5" t="s">
        <v>26</v>
      </c>
      <c r="D99" s="4" t="s">
        <v>889</v>
      </c>
      <c r="E99" s="4" t="s">
        <v>17</v>
      </c>
      <c r="F99" s="9">
        <v>26</v>
      </c>
      <c r="G99" s="10">
        <v>0</v>
      </c>
      <c r="H99" s="10">
        <v>0</v>
      </c>
    </row>
    <row r="100" spans="1:8" x14ac:dyDescent="0.25">
      <c r="A100" s="4" t="s">
        <v>843</v>
      </c>
      <c r="B100" s="5" t="s">
        <v>845</v>
      </c>
      <c r="C100" s="5" t="s">
        <v>26</v>
      </c>
      <c r="D100" s="4" t="s">
        <v>889</v>
      </c>
      <c r="E100" s="4" t="s">
        <v>116</v>
      </c>
      <c r="F100" s="9">
        <v>26.25</v>
      </c>
      <c r="G100" s="10">
        <v>0</v>
      </c>
      <c r="H100" s="10">
        <v>0</v>
      </c>
    </row>
    <row r="101" spans="1:8" x14ac:dyDescent="0.25">
      <c r="A101" s="4" t="s">
        <v>224</v>
      </c>
      <c r="B101" s="5" t="s">
        <v>226</v>
      </c>
      <c r="C101" s="5" t="s">
        <v>227</v>
      </c>
      <c r="D101" s="4" t="s">
        <v>893</v>
      </c>
      <c r="E101" s="4" t="s">
        <v>904</v>
      </c>
      <c r="F101" s="9">
        <v>24</v>
      </c>
      <c r="G101" s="10">
        <v>0</v>
      </c>
      <c r="H101" s="10">
        <v>0</v>
      </c>
    </row>
    <row r="102" spans="1:8" x14ac:dyDescent="0.25">
      <c r="A102" s="4" t="s">
        <v>520</v>
      </c>
      <c r="B102" s="5" t="s">
        <v>521</v>
      </c>
      <c r="C102" s="5" t="s">
        <v>398</v>
      </c>
      <c r="D102" s="4" t="s">
        <v>891</v>
      </c>
      <c r="E102" s="4" t="s">
        <v>376</v>
      </c>
      <c r="F102" s="9">
        <v>33</v>
      </c>
      <c r="G102" s="10">
        <v>0</v>
      </c>
      <c r="H102" s="10">
        <v>0.4</v>
      </c>
    </row>
    <row r="103" spans="1:8" x14ac:dyDescent="0.25">
      <c r="A103" s="4" t="s">
        <v>522</v>
      </c>
      <c r="B103" s="5" t="s">
        <v>523</v>
      </c>
      <c r="C103" s="5" t="s">
        <v>398</v>
      </c>
      <c r="D103" s="4" t="s">
        <v>891</v>
      </c>
      <c r="E103" s="4" t="s">
        <v>376</v>
      </c>
      <c r="F103" s="9">
        <v>33</v>
      </c>
      <c r="G103" s="10">
        <v>0</v>
      </c>
      <c r="H103" s="10">
        <v>0.5</v>
      </c>
    </row>
    <row r="104" spans="1:8" x14ac:dyDescent="0.25">
      <c r="A104" s="4" t="s">
        <v>524</v>
      </c>
      <c r="B104" s="5" t="s">
        <v>525</v>
      </c>
      <c r="C104" s="5" t="s">
        <v>398</v>
      </c>
      <c r="D104" s="4" t="s">
        <v>891</v>
      </c>
      <c r="E104" s="4" t="s">
        <v>376</v>
      </c>
      <c r="F104" s="9">
        <v>33</v>
      </c>
      <c r="G104" s="10">
        <v>0</v>
      </c>
      <c r="H104" s="10">
        <v>0.5</v>
      </c>
    </row>
    <row r="105" spans="1:8" x14ac:dyDescent="0.25">
      <c r="A105" s="4" t="s">
        <v>526</v>
      </c>
      <c r="B105" s="5" t="s">
        <v>527</v>
      </c>
      <c r="C105" s="5" t="s">
        <v>398</v>
      </c>
      <c r="D105" s="4" t="s">
        <v>891</v>
      </c>
      <c r="E105" s="4" t="s">
        <v>372</v>
      </c>
      <c r="F105" s="9">
        <v>30</v>
      </c>
      <c r="G105" s="10">
        <v>0</v>
      </c>
      <c r="H105" s="10">
        <v>0</v>
      </c>
    </row>
    <row r="106" spans="1:8" x14ac:dyDescent="0.25">
      <c r="A106" s="4" t="s">
        <v>528</v>
      </c>
      <c r="B106" s="5" t="s">
        <v>529</v>
      </c>
      <c r="C106" s="5" t="s">
        <v>398</v>
      </c>
      <c r="D106" s="4" t="s">
        <v>891</v>
      </c>
      <c r="E106" s="4" t="s">
        <v>376</v>
      </c>
      <c r="F106" s="9">
        <v>33</v>
      </c>
      <c r="G106" s="10">
        <v>0</v>
      </c>
      <c r="H106" s="10">
        <v>0</v>
      </c>
    </row>
    <row r="107" spans="1:8" x14ac:dyDescent="0.25">
      <c r="A107" s="4" t="s">
        <v>553</v>
      </c>
      <c r="B107" s="5" t="s">
        <v>555</v>
      </c>
      <c r="C107" s="5" t="s">
        <v>26</v>
      </c>
      <c r="D107" s="4" t="s">
        <v>905</v>
      </c>
      <c r="E107" s="4" t="s">
        <v>372</v>
      </c>
      <c r="F107" s="9">
        <v>30</v>
      </c>
      <c r="G107" s="10">
        <v>0</v>
      </c>
      <c r="H107" s="10">
        <v>0</v>
      </c>
    </row>
    <row r="108" spans="1:8" x14ac:dyDescent="0.25">
      <c r="A108" s="4" t="s">
        <v>264</v>
      </c>
      <c r="B108" s="5" t="s">
        <v>266</v>
      </c>
      <c r="C108" s="5" t="s">
        <v>26</v>
      </c>
      <c r="D108" s="4" t="s">
        <v>893</v>
      </c>
      <c r="E108" s="4" t="s">
        <v>151</v>
      </c>
      <c r="F108" s="9">
        <v>24</v>
      </c>
      <c r="G108" s="10">
        <v>0</v>
      </c>
      <c r="H108" s="10">
        <v>0.8</v>
      </c>
    </row>
    <row r="109" spans="1:8" x14ac:dyDescent="0.25">
      <c r="A109" s="4" t="s">
        <v>168</v>
      </c>
      <c r="B109" s="5" t="s">
        <v>170</v>
      </c>
      <c r="C109" s="5" t="s">
        <v>18</v>
      </c>
      <c r="D109" s="4" t="s">
        <v>896</v>
      </c>
      <c r="E109" s="4" t="s">
        <v>43</v>
      </c>
      <c r="F109" s="9">
        <v>30</v>
      </c>
      <c r="G109" s="10">
        <v>0</v>
      </c>
      <c r="H109" s="10">
        <v>0</v>
      </c>
    </row>
    <row r="110" spans="1:8" x14ac:dyDescent="0.25">
      <c r="A110" s="4" t="s">
        <v>171</v>
      </c>
      <c r="B110" s="5" t="s">
        <v>172</v>
      </c>
      <c r="C110" s="5" t="s">
        <v>18</v>
      </c>
      <c r="D110" s="4" t="s">
        <v>896</v>
      </c>
      <c r="E110" s="4" t="s">
        <v>43</v>
      </c>
      <c r="F110" s="9">
        <v>30</v>
      </c>
      <c r="G110" s="10">
        <v>0</v>
      </c>
      <c r="H110" s="10">
        <v>0</v>
      </c>
    </row>
    <row r="111" spans="1:8" x14ac:dyDescent="0.25">
      <c r="A111" s="4" t="s">
        <v>556</v>
      </c>
      <c r="B111" s="5" t="s">
        <v>558</v>
      </c>
      <c r="C111" s="5" t="s">
        <v>26</v>
      </c>
      <c r="D111" s="4" t="s">
        <v>905</v>
      </c>
      <c r="E111" s="4" t="s">
        <v>372</v>
      </c>
      <c r="F111" s="9">
        <v>30</v>
      </c>
      <c r="G111" s="10">
        <v>0</v>
      </c>
      <c r="H111" s="10">
        <v>0</v>
      </c>
    </row>
    <row r="112" spans="1:8" x14ac:dyDescent="0.25">
      <c r="A112" s="4" t="s">
        <v>559</v>
      </c>
      <c r="B112" s="5" t="s">
        <v>560</v>
      </c>
      <c r="C112" s="5" t="s">
        <v>26</v>
      </c>
      <c r="D112" s="4" t="s">
        <v>905</v>
      </c>
      <c r="E112" s="4" t="s">
        <v>372</v>
      </c>
      <c r="F112" s="9">
        <v>30</v>
      </c>
      <c r="G112" s="10">
        <v>0</v>
      </c>
      <c r="H112" s="10">
        <v>0</v>
      </c>
    </row>
    <row r="113" spans="1:8" x14ac:dyDescent="0.25">
      <c r="A113" s="4" t="s">
        <v>539</v>
      </c>
      <c r="B113" s="5" t="s">
        <v>541</v>
      </c>
      <c r="C113" s="5" t="s">
        <v>422</v>
      </c>
      <c r="D113" s="4" t="s">
        <v>889</v>
      </c>
      <c r="E113" s="4" t="s">
        <v>421</v>
      </c>
      <c r="F113" s="9">
        <v>25</v>
      </c>
      <c r="G113" s="10">
        <v>0</v>
      </c>
      <c r="H113" s="10">
        <v>0</v>
      </c>
    </row>
    <row r="114" spans="1:8" x14ac:dyDescent="0.25">
      <c r="A114" s="4" t="s">
        <v>542</v>
      </c>
      <c r="B114" s="5" t="s">
        <v>543</v>
      </c>
      <c r="C114" s="5" t="s">
        <v>422</v>
      </c>
      <c r="D114" s="4" t="s">
        <v>889</v>
      </c>
      <c r="E114" s="4" t="s">
        <v>421</v>
      </c>
      <c r="F114" s="9">
        <v>25</v>
      </c>
      <c r="G114" s="10">
        <v>0</v>
      </c>
      <c r="H114" s="10">
        <v>0.5</v>
      </c>
    </row>
    <row r="115" spans="1:8" x14ac:dyDescent="0.25">
      <c r="A115" s="4" t="s">
        <v>561</v>
      </c>
      <c r="B115" s="5" t="s">
        <v>562</v>
      </c>
      <c r="C115" s="5" t="s">
        <v>564</v>
      </c>
      <c r="D115" s="4" t="s">
        <v>905</v>
      </c>
      <c r="E115" s="4" t="s">
        <v>563</v>
      </c>
      <c r="F115" s="9">
        <v>60</v>
      </c>
      <c r="G115" s="10">
        <v>0</v>
      </c>
      <c r="H115" s="10">
        <v>0</v>
      </c>
    </row>
    <row r="116" spans="1:8" x14ac:dyDescent="0.25">
      <c r="A116" s="4" t="s">
        <v>113</v>
      </c>
      <c r="B116" s="5" t="s">
        <v>115</v>
      </c>
      <c r="C116" s="5" t="s">
        <v>26</v>
      </c>
      <c r="D116" s="4" t="s">
        <v>899</v>
      </c>
      <c r="E116" s="4" t="s">
        <v>116</v>
      </c>
      <c r="F116" s="9">
        <v>27</v>
      </c>
      <c r="G116" s="10">
        <v>0</v>
      </c>
      <c r="H116" s="10">
        <v>0</v>
      </c>
    </row>
    <row r="117" spans="1:8" x14ac:dyDescent="0.25">
      <c r="A117" s="4" t="s">
        <v>117</v>
      </c>
      <c r="B117" s="5" t="s">
        <v>119</v>
      </c>
      <c r="C117" s="5" t="s">
        <v>26</v>
      </c>
      <c r="D117" s="4" t="s">
        <v>899</v>
      </c>
      <c r="E117" s="4" t="s">
        <v>116</v>
      </c>
      <c r="F117" s="9">
        <v>27</v>
      </c>
      <c r="G117" s="10">
        <v>0</v>
      </c>
      <c r="H117" s="10">
        <v>0</v>
      </c>
    </row>
    <row r="118" spans="1:8" x14ac:dyDescent="0.25">
      <c r="A118" s="4" t="s">
        <v>120</v>
      </c>
      <c r="B118" s="5" t="s">
        <v>122</v>
      </c>
      <c r="C118" s="5" t="s">
        <v>26</v>
      </c>
      <c r="D118" s="4" t="s">
        <v>899</v>
      </c>
      <c r="E118" s="4" t="s">
        <v>116</v>
      </c>
      <c r="F118" s="9">
        <v>26</v>
      </c>
      <c r="G118" s="10">
        <v>0</v>
      </c>
      <c r="H118" s="10">
        <v>0</v>
      </c>
    </row>
    <row r="119" spans="1:8" x14ac:dyDescent="0.25">
      <c r="A119" s="4" t="s">
        <v>448</v>
      </c>
      <c r="B119" s="5" t="s">
        <v>450</v>
      </c>
      <c r="C119" s="5" t="s">
        <v>26</v>
      </c>
      <c r="D119" s="4" t="s">
        <v>891</v>
      </c>
      <c r="E119" s="4" t="s">
        <v>17</v>
      </c>
      <c r="F119" s="9">
        <v>26.25</v>
      </c>
      <c r="G119" s="10">
        <v>0</v>
      </c>
      <c r="H119" s="10">
        <v>0</v>
      </c>
    </row>
    <row r="120" spans="1:8" x14ac:dyDescent="0.25">
      <c r="A120" s="4" t="s">
        <v>545</v>
      </c>
      <c r="B120" s="5" t="s">
        <v>547</v>
      </c>
      <c r="C120" s="5" t="s">
        <v>422</v>
      </c>
      <c r="D120" s="4" t="s">
        <v>889</v>
      </c>
      <c r="E120" s="4" t="s">
        <v>421</v>
      </c>
      <c r="F120" s="9">
        <v>22</v>
      </c>
      <c r="G120" s="10">
        <v>0</v>
      </c>
      <c r="H120" s="10">
        <v>0.5</v>
      </c>
    </row>
    <row r="121" spans="1:8" x14ac:dyDescent="0.25">
      <c r="A121" s="4" t="s">
        <v>548</v>
      </c>
      <c r="B121" s="5" t="s">
        <v>550</v>
      </c>
      <c r="C121" s="5" t="s">
        <v>422</v>
      </c>
      <c r="D121" s="4" t="s">
        <v>889</v>
      </c>
      <c r="E121" s="4" t="s">
        <v>551</v>
      </c>
      <c r="F121" s="9">
        <v>25</v>
      </c>
      <c r="G121" s="10">
        <v>0</v>
      </c>
      <c r="H121" s="10">
        <v>0.5</v>
      </c>
    </row>
    <row r="122" spans="1:8" x14ac:dyDescent="0.25">
      <c r="A122" s="4" t="s">
        <v>411</v>
      </c>
      <c r="B122" s="5" t="s">
        <v>413</v>
      </c>
      <c r="C122" s="5" t="s">
        <v>312</v>
      </c>
      <c r="D122" s="4" t="s">
        <v>889</v>
      </c>
      <c r="E122" s="4" t="s">
        <v>177</v>
      </c>
      <c r="F122" s="9">
        <v>40</v>
      </c>
      <c r="G122" s="10">
        <v>0</v>
      </c>
      <c r="H122" s="10">
        <v>0</v>
      </c>
    </row>
    <row r="123" spans="1:8" x14ac:dyDescent="0.25">
      <c r="A123" s="4" t="s">
        <v>414</v>
      </c>
      <c r="B123" s="5" t="s">
        <v>415</v>
      </c>
      <c r="C123" s="5" t="s">
        <v>312</v>
      </c>
      <c r="D123" s="4" t="s">
        <v>889</v>
      </c>
      <c r="E123" s="4" t="s">
        <v>177</v>
      </c>
      <c r="F123" s="9">
        <v>40</v>
      </c>
      <c r="G123" s="10">
        <v>0</v>
      </c>
      <c r="H123" s="10">
        <v>0</v>
      </c>
    </row>
    <row r="124" spans="1:8" x14ac:dyDescent="0.25">
      <c r="A124" s="4" t="s">
        <v>731</v>
      </c>
      <c r="B124" s="5" t="s">
        <v>733</v>
      </c>
      <c r="C124" s="5" t="s">
        <v>398</v>
      </c>
      <c r="D124" s="4" t="s">
        <v>889</v>
      </c>
      <c r="E124" s="4" t="s">
        <v>372</v>
      </c>
      <c r="F124" s="9">
        <v>30</v>
      </c>
      <c r="G124" s="10">
        <v>0</v>
      </c>
      <c r="H124" s="10">
        <v>0</v>
      </c>
    </row>
    <row r="125" spans="1:8" x14ac:dyDescent="0.25">
      <c r="A125" s="4" t="s">
        <v>58</v>
      </c>
      <c r="B125" s="5" t="s">
        <v>60</v>
      </c>
      <c r="C125" s="5" t="s">
        <v>61</v>
      </c>
      <c r="D125" s="4" t="s">
        <v>889</v>
      </c>
      <c r="E125" s="4" t="s">
        <v>43</v>
      </c>
      <c r="F125" s="9">
        <v>30</v>
      </c>
      <c r="G125" s="10">
        <v>0</v>
      </c>
      <c r="H125" s="10">
        <v>0</v>
      </c>
    </row>
    <row r="126" spans="1:8" x14ac:dyDescent="0.25">
      <c r="A126" s="4" t="s">
        <v>62</v>
      </c>
      <c r="B126" s="5" t="s">
        <v>63</v>
      </c>
      <c r="C126" s="5" t="s">
        <v>61</v>
      </c>
      <c r="D126" s="4" t="s">
        <v>889</v>
      </c>
      <c r="E126" s="4" t="s">
        <v>43</v>
      </c>
      <c r="F126" s="9">
        <v>30</v>
      </c>
      <c r="G126" s="10">
        <v>0</v>
      </c>
      <c r="H126" s="10">
        <v>0</v>
      </c>
    </row>
    <row r="127" spans="1:8" x14ac:dyDescent="0.25">
      <c r="A127" s="4" t="s">
        <v>65</v>
      </c>
      <c r="B127" s="5" t="s">
        <v>66</v>
      </c>
      <c r="C127" s="5" t="s">
        <v>61</v>
      </c>
      <c r="D127" s="4" t="s">
        <v>889</v>
      </c>
      <c r="E127" s="4" t="s">
        <v>67</v>
      </c>
      <c r="F127" s="9">
        <v>30</v>
      </c>
      <c r="G127" s="10">
        <v>0</v>
      </c>
      <c r="H127" s="10">
        <v>0</v>
      </c>
    </row>
    <row r="128" spans="1:8" x14ac:dyDescent="0.25">
      <c r="A128" s="4" t="s">
        <v>68</v>
      </c>
      <c r="B128" s="5" t="s">
        <v>70</v>
      </c>
      <c r="C128" s="5" t="s">
        <v>18</v>
      </c>
      <c r="D128" s="4" t="s">
        <v>890</v>
      </c>
      <c r="E128" s="4" t="s">
        <v>71</v>
      </c>
      <c r="F128" s="9">
        <v>50</v>
      </c>
      <c r="G128" s="10">
        <v>0</v>
      </c>
      <c r="H128" s="10">
        <v>0</v>
      </c>
    </row>
    <row r="129" spans="1:8" x14ac:dyDescent="0.25">
      <c r="A129" s="4" t="s">
        <v>72</v>
      </c>
      <c r="B129" s="5" t="s">
        <v>74</v>
      </c>
      <c r="C129" s="5" t="s">
        <v>18</v>
      </c>
      <c r="D129" s="4" t="s">
        <v>890</v>
      </c>
      <c r="E129" s="4" t="s">
        <v>17</v>
      </c>
      <c r="F129" s="9">
        <v>26.25</v>
      </c>
      <c r="G129" s="10">
        <v>0</v>
      </c>
      <c r="H129" s="10">
        <v>0</v>
      </c>
    </row>
    <row r="130" spans="1:8" x14ac:dyDescent="0.25">
      <c r="A130" s="4" t="s">
        <v>75</v>
      </c>
      <c r="B130" s="5" t="s">
        <v>77</v>
      </c>
      <c r="C130" s="5" t="s">
        <v>18</v>
      </c>
      <c r="D130" s="4" t="s">
        <v>890</v>
      </c>
      <c r="E130" s="4" t="s">
        <v>71</v>
      </c>
      <c r="F130" s="9">
        <v>50</v>
      </c>
      <c r="G130" s="10">
        <v>0</v>
      </c>
      <c r="H130" s="10">
        <v>0</v>
      </c>
    </row>
    <row r="131" spans="1:8" x14ac:dyDescent="0.25">
      <c r="A131" s="4" t="s">
        <v>83</v>
      </c>
      <c r="B131" s="5" t="s">
        <v>84</v>
      </c>
      <c r="C131" s="5" t="s">
        <v>26</v>
      </c>
      <c r="D131" s="4" t="s">
        <v>889</v>
      </c>
      <c r="E131" s="4" t="s">
        <v>17</v>
      </c>
      <c r="F131" s="9">
        <v>26.25</v>
      </c>
      <c r="G131" s="10">
        <v>0</v>
      </c>
      <c r="H131" s="10">
        <v>0</v>
      </c>
    </row>
    <row r="132" spans="1:8" x14ac:dyDescent="0.25">
      <c r="A132" s="4" t="s">
        <v>85</v>
      </c>
      <c r="B132" s="5" t="s">
        <v>86</v>
      </c>
      <c r="C132" s="5" t="s">
        <v>26</v>
      </c>
      <c r="D132" s="4" t="s">
        <v>889</v>
      </c>
      <c r="E132" s="4" t="s">
        <v>17</v>
      </c>
      <c r="F132" s="9">
        <v>26.25</v>
      </c>
      <c r="G132" s="10">
        <v>0</v>
      </c>
      <c r="H132" s="10">
        <v>0</v>
      </c>
    </row>
    <row r="133" spans="1:8" x14ac:dyDescent="0.25">
      <c r="A133" s="4" t="s">
        <v>565</v>
      </c>
      <c r="B133" s="5" t="s">
        <v>567</v>
      </c>
      <c r="C133" s="5" t="s">
        <v>312</v>
      </c>
      <c r="D133" s="4" t="s">
        <v>905</v>
      </c>
      <c r="E133" s="4" t="s">
        <v>568</v>
      </c>
      <c r="F133" s="9">
        <v>21</v>
      </c>
      <c r="G133" s="10">
        <v>0</v>
      </c>
      <c r="H133" s="10">
        <v>0</v>
      </c>
    </row>
    <row r="134" spans="1:8" x14ac:dyDescent="0.25">
      <c r="A134" s="4" t="s">
        <v>503</v>
      </c>
      <c r="B134" s="5" t="s">
        <v>505</v>
      </c>
      <c r="C134" s="5" t="s">
        <v>26</v>
      </c>
      <c r="D134" s="4" t="s">
        <v>891</v>
      </c>
      <c r="E134" s="4" t="s">
        <v>116</v>
      </c>
      <c r="F134" s="9">
        <v>26.25</v>
      </c>
      <c r="G134" s="10">
        <v>0</v>
      </c>
      <c r="H134" s="10">
        <v>0</v>
      </c>
    </row>
    <row r="135" spans="1:8" x14ac:dyDescent="0.25">
      <c r="A135" s="4" t="s">
        <v>506</v>
      </c>
      <c r="B135" s="5" t="s">
        <v>508</v>
      </c>
      <c r="C135" s="5" t="s">
        <v>26</v>
      </c>
      <c r="D135" s="4" t="s">
        <v>891</v>
      </c>
      <c r="E135" s="4" t="s">
        <v>372</v>
      </c>
      <c r="F135" s="9">
        <v>30</v>
      </c>
      <c r="G135" s="10">
        <v>0</v>
      </c>
      <c r="H135" s="10">
        <v>0</v>
      </c>
    </row>
    <row r="136" spans="1:8" x14ac:dyDescent="0.25">
      <c r="A136" s="4" t="s">
        <v>267</v>
      </c>
      <c r="B136" s="5" t="s">
        <v>269</v>
      </c>
      <c r="C136" s="5" t="s">
        <v>61</v>
      </c>
      <c r="D136" s="4" t="s">
        <v>893</v>
      </c>
      <c r="E136" s="4" t="s">
        <v>270</v>
      </c>
      <c r="F136" s="9">
        <v>30</v>
      </c>
      <c r="G136" s="10">
        <v>0</v>
      </c>
      <c r="H136" s="10">
        <v>0</v>
      </c>
    </row>
    <row r="137" spans="1:8" x14ac:dyDescent="0.25">
      <c r="A137" s="4" t="s">
        <v>575</v>
      </c>
      <c r="B137" s="5" t="s">
        <v>577</v>
      </c>
      <c r="C137" s="5" t="s">
        <v>312</v>
      </c>
      <c r="D137" s="4" t="s">
        <v>889</v>
      </c>
      <c r="E137" s="4" t="s">
        <v>177</v>
      </c>
      <c r="F137" s="9">
        <v>40</v>
      </c>
      <c r="G137" s="10">
        <v>0</v>
      </c>
      <c r="H137" s="10">
        <v>0</v>
      </c>
    </row>
    <row r="138" spans="1:8" x14ac:dyDescent="0.25">
      <c r="A138" s="4" t="s">
        <v>578</v>
      </c>
      <c r="B138" s="5" t="s">
        <v>579</v>
      </c>
      <c r="C138" s="5" t="s">
        <v>312</v>
      </c>
      <c r="D138" s="4" t="s">
        <v>889</v>
      </c>
      <c r="E138" s="4" t="s">
        <v>177</v>
      </c>
      <c r="F138" s="9">
        <v>40</v>
      </c>
      <c r="G138" s="10">
        <v>0</v>
      </c>
      <c r="H138" s="10">
        <v>0</v>
      </c>
    </row>
    <row r="139" spans="1:8" x14ac:dyDescent="0.25">
      <c r="A139" s="4" t="s">
        <v>580</v>
      </c>
      <c r="B139" s="5" t="s">
        <v>581</v>
      </c>
      <c r="C139" s="5" t="s">
        <v>312</v>
      </c>
      <c r="D139" s="4" t="s">
        <v>889</v>
      </c>
      <c r="E139" s="4" t="s">
        <v>177</v>
      </c>
      <c r="F139" s="9">
        <v>40</v>
      </c>
      <c r="G139" s="10">
        <v>0</v>
      </c>
      <c r="H139" s="10">
        <v>0</v>
      </c>
    </row>
    <row r="140" spans="1:8" x14ac:dyDescent="0.25">
      <c r="A140" s="4" t="s">
        <v>147</v>
      </c>
      <c r="B140" s="5" t="s">
        <v>149</v>
      </c>
      <c r="C140" s="5" t="s">
        <v>18</v>
      </c>
      <c r="D140" s="4" t="s">
        <v>906</v>
      </c>
      <c r="E140" s="4" t="s">
        <v>151</v>
      </c>
      <c r="F140" s="9">
        <v>24</v>
      </c>
      <c r="G140" s="10">
        <v>0</v>
      </c>
      <c r="H140" s="10">
        <v>0</v>
      </c>
    </row>
    <row r="141" spans="1:8" x14ac:dyDescent="0.25">
      <c r="A141" s="4" t="s">
        <v>152</v>
      </c>
      <c r="B141" s="5" t="s">
        <v>153</v>
      </c>
      <c r="C141" s="5" t="s">
        <v>18</v>
      </c>
      <c r="D141" s="4" t="s">
        <v>906</v>
      </c>
      <c r="E141" s="4" t="s">
        <v>17</v>
      </c>
      <c r="F141" s="9">
        <v>26.25</v>
      </c>
      <c r="G141" s="10">
        <v>0</v>
      </c>
      <c r="H141" s="10">
        <v>0</v>
      </c>
    </row>
    <row r="142" spans="1:8" x14ac:dyDescent="0.25">
      <c r="A142" s="4" t="s">
        <v>734</v>
      </c>
      <c r="B142" s="5" t="s">
        <v>736</v>
      </c>
      <c r="C142" s="5" t="s">
        <v>26</v>
      </c>
      <c r="D142" s="4" t="s">
        <v>889</v>
      </c>
      <c r="E142" s="4" t="s">
        <v>372</v>
      </c>
      <c r="F142" s="9">
        <v>30</v>
      </c>
      <c r="G142" s="10">
        <v>0</v>
      </c>
      <c r="H142" s="10">
        <v>0</v>
      </c>
    </row>
    <row r="143" spans="1:8" x14ac:dyDescent="0.25">
      <c r="A143" s="4" t="s">
        <v>583</v>
      </c>
      <c r="B143" s="5" t="s">
        <v>585</v>
      </c>
      <c r="C143" s="5" t="s">
        <v>26</v>
      </c>
      <c r="D143" s="4" t="s">
        <v>891</v>
      </c>
      <c r="E143" s="4" t="s">
        <v>372</v>
      </c>
      <c r="F143" s="9">
        <v>30</v>
      </c>
      <c r="G143" s="10">
        <v>0</v>
      </c>
      <c r="H143" s="10">
        <v>0</v>
      </c>
    </row>
    <row r="144" spans="1:8" x14ac:dyDescent="0.25">
      <c r="A144" s="4" t="s">
        <v>586</v>
      </c>
      <c r="B144" s="5" t="s">
        <v>588</v>
      </c>
      <c r="C144" s="5" t="s">
        <v>26</v>
      </c>
      <c r="D144" s="4" t="s">
        <v>891</v>
      </c>
      <c r="E144" s="4" t="s">
        <v>43</v>
      </c>
      <c r="F144" s="9">
        <v>30</v>
      </c>
      <c r="G144" s="10">
        <v>0</v>
      </c>
      <c r="H144" s="10">
        <v>0</v>
      </c>
    </row>
    <row r="145" spans="1:8" x14ac:dyDescent="0.25">
      <c r="A145" s="4" t="s">
        <v>589</v>
      </c>
      <c r="B145" s="5" t="s">
        <v>591</v>
      </c>
      <c r="C145" s="5" t="s">
        <v>26</v>
      </c>
      <c r="D145" s="4" t="s">
        <v>891</v>
      </c>
      <c r="E145" s="4" t="s">
        <v>376</v>
      </c>
      <c r="F145" s="9">
        <v>33</v>
      </c>
      <c r="G145" s="10">
        <v>0</v>
      </c>
      <c r="H145" s="10">
        <v>0.8</v>
      </c>
    </row>
    <row r="146" spans="1:8" x14ac:dyDescent="0.25">
      <c r="A146" s="4" t="s">
        <v>598</v>
      </c>
      <c r="B146" s="5" t="s">
        <v>600</v>
      </c>
      <c r="C146" s="5" t="s">
        <v>38</v>
      </c>
      <c r="D146" s="4" t="s">
        <v>891</v>
      </c>
      <c r="E146" s="4" t="s">
        <v>421</v>
      </c>
      <c r="F146" s="9">
        <v>25</v>
      </c>
      <c r="G146" s="10">
        <v>0</v>
      </c>
      <c r="H146" s="10">
        <v>0</v>
      </c>
    </row>
    <row r="147" spans="1:8" x14ac:dyDescent="0.25">
      <c r="A147" s="4" t="s">
        <v>601</v>
      </c>
      <c r="B147" s="5" t="s">
        <v>603</v>
      </c>
      <c r="C147" s="5" t="s">
        <v>18</v>
      </c>
      <c r="D147" s="4" t="s">
        <v>891</v>
      </c>
      <c r="E147" s="4" t="s">
        <v>177</v>
      </c>
      <c r="F147" s="9">
        <v>40</v>
      </c>
      <c r="G147" s="10">
        <v>0</v>
      </c>
      <c r="H147" s="10">
        <v>0</v>
      </c>
    </row>
    <row r="148" spans="1:8" x14ac:dyDescent="0.25">
      <c r="A148" s="4" t="s">
        <v>87</v>
      </c>
      <c r="B148" s="5" t="s">
        <v>89</v>
      </c>
      <c r="C148" s="5" t="s">
        <v>61</v>
      </c>
      <c r="D148" s="4" t="s">
        <v>890</v>
      </c>
      <c r="E148" s="4" t="s">
        <v>90</v>
      </c>
      <c r="F148" s="9">
        <v>30</v>
      </c>
      <c r="G148" s="10">
        <v>0</v>
      </c>
      <c r="H148" s="10">
        <v>0</v>
      </c>
    </row>
    <row r="149" spans="1:8" x14ac:dyDescent="0.25">
      <c r="A149" s="4" t="s">
        <v>92</v>
      </c>
      <c r="B149" s="5" t="s">
        <v>93</v>
      </c>
      <c r="C149" s="5" t="s">
        <v>61</v>
      </c>
      <c r="D149" s="4" t="s">
        <v>890</v>
      </c>
      <c r="E149" s="4" t="s">
        <v>90</v>
      </c>
      <c r="F149" s="9">
        <v>30</v>
      </c>
      <c r="G149" s="10">
        <v>0</v>
      </c>
      <c r="H149" s="10">
        <v>0</v>
      </c>
    </row>
    <row r="150" spans="1:8" x14ac:dyDescent="0.25">
      <c r="A150" s="4" t="s">
        <v>94</v>
      </c>
      <c r="B150" s="5" t="s">
        <v>95</v>
      </c>
      <c r="C150" s="5" t="s">
        <v>61</v>
      </c>
      <c r="D150" s="4" t="s">
        <v>890</v>
      </c>
      <c r="E150" s="4" t="s">
        <v>90</v>
      </c>
      <c r="F150" s="9">
        <v>30</v>
      </c>
      <c r="G150" s="10">
        <v>0</v>
      </c>
      <c r="H150" s="10">
        <v>0</v>
      </c>
    </row>
    <row r="151" spans="1:8" x14ac:dyDescent="0.25">
      <c r="A151" s="4" t="s">
        <v>96</v>
      </c>
      <c r="B151" s="5" t="s">
        <v>97</v>
      </c>
      <c r="C151" s="5" t="s">
        <v>61</v>
      </c>
      <c r="D151" s="4" t="s">
        <v>890</v>
      </c>
      <c r="E151" s="4" t="s">
        <v>90</v>
      </c>
      <c r="F151" s="9">
        <v>30</v>
      </c>
      <c r="G151" s="10">
        <v>0</v>
      </c>
      <c r="H151" s="10">
        <v>0</v>
      </c>
    </row>
    <row r="152" spans="1:8" x14ac:dyDescent="0.25">
      <c r="A152" s="4" t="s">
        <v>399</v>
      </c>
      <c r="B152" s="5" t="s">
        <v>401</v>
      </c>
      <c r="C152" s="5" t="s">
        <v>398</v>
      </c>
      <c r="D152" s="4" t="s">
        <v>891</v>
      </c>
      <c r="E152" s="4" t="s">
        <v>376</v>
      </c>
      <c r="F152" s="9">
        <v>33</v>
      </c>
      <c r="G152" s="10">
        <v>0</v>
      </c>
      <c r="H152" s="10">
        <v>0.9</v>
      </c>
    </row>
    <row r="153" spans="1:8" x14ac:dyDescent="0.25">
      <c r="A153" s="4" t="s">
        <v>381</v>
      </c>
      <c r="B153" s="5" t="s">
        <v>383</v>
      </c>
      <c r="C153" s="5" t="s">
        <v>38</v>
      </c>
      <c r="D153" s="4" t="s">
        <v>907</v>
      </c>
      <c r="E153" s="4" t="s">
        <v>299</v>
      </c>
      <c r="F153" s="9">
        <v>10</v>
      </c>
      <c r="G153" s="10">
        <v>0</v>
      </c>
      <c r="H153" s="10">
        <v>0</v>
      </c>
    </row>
    <row r="154" spans="1:8" x14ac:dyDescent="0.25">
      <c r="A154" s="4" t="s">
        <v>384</v>
      </c>
      <c r="B154" s="5" t="s">
        <v>385</v>
      </c>
      <c r="C154" s="5" t="s">
        <v>38</v>
      </c>
      <c r="D154" s="4" t="s">
        <v>907</v>
      </c>
      <c r="E154" s="4" t="s">
        <v>299</v>
      </c>
      <c r="F154" s="9">
        <v>10</v>
      </c>
      <c r="G154" s="10">
        <v>0</v>
      </c>
      <c r="H154" s="10">
        <v>0</v>
      </c>
    </row>
    <row r="155" spans="1:8" x14ac:dyDescent="0.25">
      <c r="A155" s="4" t="s">
        <v>846</v>
      </c>
      <c r="B155" s="5" t="s">
        <v>848</v>
      </c>
      <c r="C155" s="5" t="s">
        <v>26</v>
      </c>
      <c r="D155" s="4" t="s">
        <v>889</v>
      </c>
      <c r="E155" s="4" t="s">
        <v>849</v>
      </c>
      <c r="F155" s="9">
        <v>40</v>
      </c>
      <c r="G155" s="10">
        <v>0</v>
      </c>
      <c r="H155" s="10">
        <v>0</v>
      </c>
    </row>
    <row r="156" spans="1:8" x14ac:dyDescent="0.25">
      <c r="A156" s="4" t="s">
        <v>850</v>
      </c>
      <c r="B156" s="5" t="s">
        <v>851</v>
      </c>
      <c r="C156" s="5" t="s">
        <v>26</v>
      </c>
      <c r="D156" s="4" t="s">
        <v>889</v>
      </c>
      <c r="E156" s="4" t="s">
        <v>849</v>
      </c>
      <c r="F156" s="9">
        <v>40</v>
      </c>
      <c r="G156" s="10">
        <v>0</v>
      </c>
      <c r="H156" s="10">
        <v>0</v>
      </c>
    </row>
    <row r="157" spans="1:8" x14ac:dyDescent="0.25">
      <c r="A157" s="4" t="s">
        <v>852</v>
      </c>
      <c r="B157" s="5" t="s">
        <v>854</v>
      </c>
      <c r="C157" s="5" t="s">
        <v>26</v>
      </c>
      <c r="D157" s="4" t="s">
        <v>889</v>
      </c>
      <c r="E157" s="4" t="s">
        <v>849</v>
      </c>
      <c r="F157" s="9">
        <v>40</v>
      </c>
      <c r="G157" s="10">
        <v>0</v>
      </c>
      <c r="H157" s="10">
        <v>0</v>
      </c>
    </row>
    <row r="158" spans="1:8" x14ac:dyDescent="0.25">
      <c r="A158" s="4" t="s">
        <v>855</v>
      </c>
      <c r="B158" s="5" t="s">
        <v>857</v>
      </c>
      <c r="C158" s="5" t="s">
        <v>26</v>
      </c>
      <c r="D158" s="4" t="s">
        <v>889</v>
      </c>
      <c r="E158" s="4" t="s">
        <v>849</v>
      </c>
      <c r="F158" s="9">
        <v>40</v>
      </c>
      <c r="G158" s="10">
        <v>0</v>
      </c>
      <c r="H158" s="10">
        <v>0</v>
      </c>
    </row>
    <row r="159" spans="1:8" x14ac:dyDescent="0.25">
      <c r="A159" s="4" t="s">
        <v>605</v>
      </c>
      <c r="B159" s="5" t="s">
        <v>607</v>
      </c>
      <c r="C159" s="5" t="s">
        <v>608</v>
      </c>
      <c r="D159" s="4" t="s">
        <v>891</v>
      </c>
      <c r="E159" s="4" t="s">
        <v>376</v>
      </c>
      <c r="F159" s="9">
        <v>33</v>
      </c>
      <c r="G159" s="10">
        <v>0</v>
      </c>
      <c r="H159" s="10">
        <v>0.05</v>
      </c>
    </row>
    <row r="160" spans="1:8" x14ac:dyDescent="0.25">
      <c r="A160" s="4" t="s">
        <v>609</v>
      </c>
      <c r="B160" s="5" t="s">
        <v>610</v>
      </c>
      <c r="C160" s="5" t="s">
        <v>26</v>
      </c>
      <c r="D160" s="4" t="s">
        <v>891</v>
      </c>
      <c r="E160" s="4" t="s">
        <v>376</v>
      </c>
      <c r="F160" s="9">
        <v>33</v>
      </c>
      <c r="G160" s="10">
        <v>0</v>
      </c>
      <c r="H160" s="10">
        <v>0.55000000000000004</v>
      </c>
    </row>
    <row r="161" spans="1:8" x14ac:dyDescent="0.25">
      <c r="A161" s="4" t="s">
        <v>611</v>
      </c>
      <c r="B161" s="5" t="s">
        <v>612</v>
      </c>
      <c r="C161" s="5" t="s">
        <v>61</v>
      </c>
      <c r="D161" s="4" t="s">
        <v>891</v>
      </c>
      <c r="E161" s="4" t="s">
        <v>376</v>
      </c>
      <c r="F161" s="9">
        <v>33</v>
      </c>
      <c r="G161" s="10">
        <v>0</v>
      </c>
      <c r="H161" s="10">
        <v>0.15</v>
      </c>
    </row>
    <row r="162" spans="1:8" x14ac:dyDescent="0.25">
      <c r="A162" s="4" t="s">
        <v>271</v>
      </c>
      <c r="B162" s="5" t="s">
        <v>273</v>
      </c>
      <c r="C162" s="5" t="s">
        <v>26</v>
      </c>
      <c r="D162" s="4" t="s">
        <v>893</v>
      </c>
      <c r="E162" s="4" t="s">
        <v>274</v>
      </c>
      <c r="F162" s="9">
        <v>24</v>
      </c>
      <c r="G162" s="10">
        <v>0</v>
      </c>
      <c r="H162" s="10">
        <v>0</v>
      </c>
    </row>
    <row r="163" spans="1:8" x14ac:dyDescent="0.25">
      <c r="A163" s="4" t="s">
        <v>275</v>
      </c>
      <c r="B163" s="5" t="s">
        <v>277</v>
      </c>
      <c r="C163" s="5" t="s">
        <v>26</v>
      </c>
      <c r="D163" s="4" t="s">
        <v>893</v>
      </c>
      <c r="E163" s="4" t="s">
        <v>274</v>
      </c>
      <c r="F163" s="9">
        <v>24</v>
      </c>
      <c r="G163" s="10">
        <v>0</v>
      </c>
      <c r="H163" s="10">
        <v>0</v>
      </c>
    </row>
    <row r="164" spans="1:8" x14ac:dyDescent="0.25">
      <c r="A164" s="4" t="s">
        <v>278</v>
      </c>
      <c r="B164" s="5" t="s">
        <v>280</v>
      </c>
      <c r="C164" s="5" t="s">
        <v>18</v>
      </c>
      <c r="D164" s="4" t="s">
        <v>893</v>
      </c>
      <c r="E164" s="4" t="s">
        <v>908</v>
      </c>
      <c r="F164" s="9">
        <v>26.25</v>
      </c>
      <c r="G164" s="10">
        <v>0</v>
      </c>
      <c r="H164" s="10">
        <v>0</v>
      </c>
    </row>
    <row r="165" spans="1:8" x14ac:dyDescent="0.25">
      <c r="A165" s="4" t="s">
        <v>281</v>
      </c>
      <c r="B165" s="5" t="s">
        <v>283</v>
      </c>
      <c r="C165" s="5" t="s">
        <v>61</v>
      </c>
      <c r="D165" s="4" t="s">
        <v>893</v>
      </c>
      <c r="E165" s="4" t="s">
        <v>284</v>
      </c>
      <c r="F165" s="9">
        <v>22.5</v>
      </c>
      <c r="G165" s="10">
        <v>0</v>
      </c>
      <c r="H165" s="10">
        <v>0</v>
      </c>
    </row>
    <row r="166" spans="1:8" x14ac:dyDescent="0.25">
      <c r="A166" s="4" t="s">
        <v>363</v>
      </c>
      <c r="B166" s="5" t="s">
        <v>364</v>
      </c>
      <c r="C166" s="5" t="s">
        <v>26</v>
      </c>
      <c r="D166" s="4" t="s">
        <v>895</v>
      </c>
      <c r="E166" s="4" t="s">
        <v>353</v>
      </c>
      <c r="F166" s="9">
        <v>15</v>
      </c>
      <c r="G166" s="10">
        <v>0</v>
      </c>
      <c r="H166" s="10">
        <v>0.5</v>
      </c>
    </row>
    <row r="167" spans="1:8" x14ac:dyDescent="0.25">
      <c r="A167" s="4" t="s">
        <v>365</v>
      </c>
      <c r="B167" s="5" t="s">
        <v>366</v>
      </c>
      <c r="C167" s="5" t="s">
        <v>26</v>
      </c>
      <c r="D167" s="4" t="s">
        <v>895</v>
      </c>
      <c r="E167" s="4" t="s">
        <v>353</v>
      </c>
      <c r="F167" s="9">
        <v>15</v>
      </c>
      <c r="G167" s="10">
        <v>0</v>
      </c>
      <c r="H167" s="10">
        <v>0.5</v>
      </c>
    </row>
    <row r="168" spans="1:8" x14ac:dyDescent="0.25">
      <c r="A168" s="4" t="s">
        <v>367</v>
      </c>
      <c r="B168" s="5" t="s">
        <v>368</v>
      </c>
      <c r="C168" s="5" t="s">
        <v>26</v>
      </c>
      <c r="D168" s="4" t="s">
        <v>895</v>
      </c>
      <c r="E168" s="4" t="s">
        <v>353</v>
      </c>
      <c r="F168" s="9">
        <v>15</v>
      </c>
      <c r="G168" s="10">
        <v>0</v>
      </c>
      <c r="H168" s="10">
        <v>0.5</v>
      </c>
    </row>
    <row r="169" spans="1:8" x14ac:dyDescent="0.25">
      <c r="A169" s="4" t="s">
        <v>296</v>
      </c>
      <c r="B169" s="5" t="s">
        <v>298</v>
      </c>
      <c r="C169" s="5" t="s">
        <v>18</v>
      </c>
      <c r="D169" s="4" t="s">
        <v>909</v>
      </c>
      <c r="E169" s="4" t="s">
        <v>299</v>
      </c>
      <c r="F169" s="9">
        <v>10</v>
      </c>
      <c r="G169" s="10">
        <v>0</v>
      </c>
      <c r="H169" s="10">
        <v>0</v>
      </c>
    </row>
    <row r="170" spans="1:8" x14ac:dyDescent="0.25">
      <c r="A170" s="4" t="s">
        <v>301</v>
      </c>
      <c r="B170" s="5" t="s">
        <v>302</v>
      </c>
      <c r="C170" s="5" t="s">
        <v>18</v>
      </c>
      <c r="D170" s="4" t="s">
        <v>909</v>
      </c>
      <c r="E170" s="4" t="s">
        <v>299</v>
      </c>
      <c r="F170" s="9">
        <v>10</v>
      </c>
      <c r="G170" s="10">
        <v>0</v>
      </c>
      <c r="H170" s="10">
        <v>0.5</v>
      </c>
    </row>
    <row r="171" spans="1:8" x14ac:dyDescent="0.25">
      <c r="A171" s="4" t="s">
        <v>303</v>
      </c>
      <c r="B171" s="5" t="s">
        <v>304</v>
      </c>
      <c r="C171" s="5" t="s">
        <v>18</v>
      </c>
      <c r="D171" s="4" t="s">
        <v>909</v>
      </c>
      <c r="E171" s="4" t="s">
        <v>299</v>
      </c>
      <c r="F171" s="9">
        <v>10</v>
      </c>
      <c r="G171" s="10">
        <v>0</v>
      </c>
      <c r="H171" s="10">
        <v>0.5</v>
      </c>
    </row>
    <row r="172" spans="1:8" x14ac:dyDescent="0.25">
      <c r="A172" s="4" t="s">
        <v>305</v>
      </c>
      <c r="B172" s="5" t="s">
        <v>306</v>
      </c>
      <c r="C172" s="5" t="s">
        <v>18</v>
      </c>
      <c r="D172" s="4" t="s">
        <v>909</v>
      </c>
      <c r="E172" s="4" t="s">
        <v>299</v>
      </c>
      <c r="F172" s="9">
        <v>10</v>
      </c>
      <c r="G172" s="10">
        <v>0</v>
      </c>
      <c r="H172" s="10">
        <v>0.5</v>
      </c>
    </row>
    <row r="173" spans="1:8" x14ac:dyDescent="0.25">
      <c r="A173" s="4" t="s">
        <v>307</v>
      </c>
      <c r="B173" s="5" t="s">
        <v>308</v>
      </c>
      <c r="C173" s="5" t="s">
        <v>18</v>
      </c>
      <c r="D173" s="4" t="s">
        <v>909</v>
      </c>
      <c r="E173" s="4" t="s">
        <v>299</v>
      </c>
      <c r="F173" s="9">
        <v>10</v>
      </c>
      <c r="G173" s="10">
        <v>0</v>
      </c>
      <c r="H173" s="10">
        <v>0</v>
      </c>
    </row>
    <row r="174" spans="1:8" x14ac:dyDescent="0.25">
      <c r="A174" s="4" t="s">
        <v>154</v>
      </c>
      <c r="B174" s="5" t="s">
        <v>155</v>
      </c>
      <c r="C174" s="5" t="s">
        <v>100</v>
      </c>
      <c r="D174" s="4" t="s">
        <v>906</v>
      </c>
      <c r="E174" s="4" t="s">
        <v>17</v>
      </c>
      <c r="F174" s="9">
        <v>26.25</v>
      </c>
      <c r="G174" s="10">
        <v>0</v>
      </c>
      <c r="H174" s="10">
        <v>0</v>
      </c>
    </row>
    <row r="175" spans="1:8" x14ac:dyDescent="0.25">
      <c r="A175" s="4" t="s">
        <v>801</v>
      </c>
      <c r="B175" s="5" t="s">
        <v>803</v>
      </c>
      <c r="C175" s="5" t="s">
        <v>26</v>
      </c>
      <c r="D175" s="4" t="s">
        <v>896</v>
      </c>
      <c r="E175" s="4" t="s">
        <v>284</v>
      </c>
      <c r="F175" s="9">
        <v>22.5</v>
      </c>
      <c r="G175" s="10">
        <v>0</v>
      </c>
      <c r="H175" s="10">
        <v>0.5</v>
      </c>
    </row>
    <row r="176" spans="1:8" x14ac:dyDescent="0.25">
      <c r="A176" s="4" t="s">
        <v>858</v>
      </c>
      <c r="B176" s="5" t="s">
        <v>860</v>
      </c>
      <c r="C176" s="5" t="s">
        <v>26</v>
      </c>
      <c r="D176" s="4" t="s">
        <v>903</v>
      </c>
      <c r="E176" s="4" t="s">
        <v>861</v>
      </c>
      <c r="F176" s="9">
        <v>36</v>
      </c>
      <c r="G176" s="10">
        <v>0</v>
      </c>
      <c r="H176" s="10">
        <v>0</v>
      </c>
    </row>
    <row r="177" spans="1:8" x14ac:dyDescent="0.25">
      <c r="A177" s="4" t="s">
        <v>862</v>
      </c>
      <c r="B177" s="5" t="s">
        <v>864</v>
      </c>
      <c r="C177" s="5" t="s">
        <v>26</v>
      </c>
      <c r="D177" s="4" t="s">
        <v>903</v>
      </c>
      <c r="E177" s="4" t="s">
        <v>43</v>
      </c>
      <c r="F177" s="9">
        <v>30</v>
      </c>
      <c r="G177" s="10">
        <v>0</v>
      </c>
      <c r="H177" s="10">
        <v>0</v>
      </c>
    </row>
    <row r="178" spans="1:8" x14ac:dyDescent="0.25">
      <c r="A178" s="4" t="s">
        <v>865</v>
      </c>
      <c r="B178" s="5" t="s">
        <v>867</v>
      </c>
      <c r="C178" s="5" t="s">
        <v>26</v>
      </c>
      <c r="D178" s="4" t="s">
        <v>903</v>
      </c>
      <c r="E178" s="4" t="s">
        <v>43</v>
      </c>
      <c r="F178" s="9">
        <v>30</v>
      </c>
      <c r="G178" s="10">
        <v>0</v>
      </c>
      <c r="H178" s="10">
        <v>0</v>
      </c>
    </row>
    <row r="179" spans="1:8" x14ac:dyDescent="0.25">
      <c r="A179" s="4" t="s">
        <v>757</v>
      </c>
      <c r="B179" s="5" t="s">
        <v>759</v>
      </c>
      <c r="C179" s="5" t="s">
        <v>38</v>
      </c>
      <c r="D179" s="4" t="s">
        <v>910</v>
      </c>
      <c r="E179" s="4" t="s">
        <v>760</v>
      </c>
      <c r="F179" s="9">
        <v>9</v>
      </c>
      <c r="G179" s="10">
        <v>0</v>
      </c>
      <c r="H179" s="10">
        <v>0.6</v>
      </c>
    </row>
    <row r="180" spans="1:8" x14ac:dyDescent="0.25">
      <c r="A180" s="4" t="s">
        <v>625</v>
      </c>
      <c r="B180" s="5" t="s">
        <v>627</v>
      </c>
      <c r="C180" s="5" t="s">
        <v>61</v>
      </c>
      <c r="D180" s="4" t="s">
        <v>889</v>
      </c>
      <c r="E180" s="4" t="s">
        <v>372</v>
      </c>
      <c r="F180" s="9">
        <v>30</v>
      </c>
      <c r="G180" s="10">
        <v>0</v>
      </c>
      <c r="H180" s="10">
        <v>0</v>
      </c>
    </row>
    <row r="181" spans="1:8" x14ac:dyDescent="0.25">
      <c r="A181" s="4" t="s">
        <v>628</v>
      </c>
      <c r="B181" s="5" t="s">
        <v>629</v>
      </c>
      <c r="C181" s="5" t="s">
        <v>61</v>
      </c>
      <c r="D181" s="4" t="s">
        <v>889</v>
      </c>
      <c r="E181" s="4" t="s">
        <v>372</v>
      </c>
      <c r="F181" s="9">
        <v>30</v>
      </c>
      <c r="G181" s="10">
        <v>0</v>
      </c>
      <c r="H181" s="10">
        <v>0</v>
      </c>
    </row>
    <row r="182" spans="1:8" x14ac:dyDescent="0.25">
      <c r="A182" s="4" t="s">
        <v>630</v>
      </c>
      <c r="B182" s="5" t="s">
        <v>631</v>
      </c>
      <c r="C182" s="5" t="s">
        <v>61</v>
      </c>
      <c r="D182" s="4" t="s">
        <v>889</v>
      </c>
      <c r="E182" s="4" t="s">
        <v>376</v>
      </c>
      <c r="F182" s="9">
        <v>33</v>
      </c>
      <c r="G182" s="10">
        <v>0</v>
      </c>
      <c r="H182" s="10">
        <v>0.6</v>
      </c>
    </row>
    <row r="183" spans="1:8" x14ac:dyDescent="0.25">
      <c r="A183" s="4" t="s">
        <v>655</v>
      </c>
      <c r="B183" s="5" t="s">
        <v>657</v>
      </c>
      <c r="C183" s="5" t="s">
        <v>52</v>
      </c>
      <c r="D183" s="4" t="s">
        <v>891</v>
      </c>
      <c r="E183" s="4" t="s">
        <v>372</v>
      </c>
      <c r="F183" s="9">
        <v>30</v>
      </c>
      <c r="G183" s="10">
        <v>0</v>
      </c>
      <c r="H183" s="10">
        <v>0.5</v>
      </c>
    </row>
    <row r="184" spans="1:8" x14ac:dyDescent="0.25">
      <c r="A184" s="4" t="s">
        <v>868</v>
      </c>
      <c r="B184" s="5" t="s">
        <v>870</v>
      </c>
      <c r="C184" s="5" t="s">
        <v>26</v>
      </c>
      <c r="D184" s="4" t="s">
        <v>889</v>
      </c>
      <c r="E184" s="4" t="s">
        <v>116</v>
      </c>
      <c r="F184" s="9">
        <v>26.25</v>
      </c>
      <c r="G184" s="10">
        <v>0</v>
      </c>
      <c r="H184" s="10">
        <v>0</v>
      </c>
    </row>
    <row r="185" spans="1:8" x14ac:dyDescent="0.25">
      <c r="A185" s="4" t="s">
        <v>677</v>
      </c>
      <c r="B185" s="5" t="s">
        <v>679</v>
      </c>
      <c r="C185" s="5" t="s">
        <v>61</v>
      </c>
      <c r="D185" s="4" t="s">
        <v>891</v>
      </c>
      <c r="E185" s="4" t="s">
        <v>376</v>
      </c>
      <c r="F185" s="9">
        <v>33</v>
      </c>
      <c r="G185" s="10">
        <v>0</v>
      </c>
      <c r="H185" s="10">
        <v>0.9</v>
      </c>
    </row>
    <row r="186" spans="1:8" x14ac:dyDescent="0.25">
      <c r="A186" s="4" t="s">
        <v>680</v>
      </c>
      <c r="B186" s="5" t="s">
        <v>681</v>
      </c>
      <c r="C186" s="5" t="s">
        <v>61</v>
      </c>
      <c r="D186" s="4" t="s">
        <v>891</v>
      </c>
      <c r="E186" s="4" t="s">
        <v>376</v>
      </c>
      <c r="F186" s="9">
        <v>33</v>
      </c>
      <c r="G186" s="10">
        <v>0</v>
      </c>
      <c r="H186" s="10">
        <v>0.9</v>
      </c>
    </row>
    <row r="187" spans="1:8" x14ac:dyDescent="0.25">
      <c r="A187" s="4" t="s">
        <v>633</v>
      </c>
      <c r="B187" s="5" t="s">
        <v>635</v>
      </c>
      <c r="C187" s="5" t="s">
        <v>312</v>
      </c>
      <c r="D187" s="4" t="s">
        <v>891</v>
      </c>
      <c r="E187" s="4" t="s">
        <v>177</v>
      </c>
      <c r="F187" s="9">
        <v>40</v>
      </c>
      <c r="G187" s="10">
        <v>0</v>
      </c>
      <c r="H187" s="10">
        <v>0</v>
      </c>
    </row>
    <row r="188" spans="1:8" x14ac:dyDescent="0.25">
      <c r="A188" s="4" t="s">
        <v>636</v>
      </c>
      <c r="B188" s="5" t="s">
        <v>637</v>
      </c>
      <c r="C188" s="5" t="s">
        <v>312</v>
      </c>
      <c r="D188" s="4" t="s">
        <v>891</v>
      </c>
      <c r="E188" s="4" t="s">
        <v>177</v>
      </c>
      <c r="F188" s="9">
        <v>40</v>
      </c>
      <c r="G188" s="10">
        <v>0</v>
      </c>
      <c r="H188" s="10">
        <v>0</v>
      </c>
    </row>
    <row r="189" spans="1:8" x14ac:dyDescent="0.25">
      <c r="A189" s="4" t="s">
        <v>638</v>
      </c>
      <c r="B189" s="5" t="s">
        <v>639</v>
      </c>
      <c r="C189" s="5" t="s">
        <v>312</v>
      </c>
      <c r="D189" s="4" t="s">
        <v>891</v>
      </c>
      <c r="E189" s="4" t="s">
        <v>177</v>
      </c>
      <c r="F189" s="9">
        <v>40</v>
      </c>
      <c r="G189" s="10">
        <v>0</v>
      </c>
      <c r="H189" s="10">
        <v>0</v>
      </c>
    </row>
    <row r="190" spans="1:8" x14ac:dyDescent="0.25">
      <c r="A190" s="4" t="s">
        <v>682</v>
      </c>
      <c r="B190" s="5" t="s">
        <v>683</v>
      </c>
      <c r="C190" s="5" t="s">
        <v>26</v>
      </c>
      <c r="D190" s="4" t="s">
        <v>891</v>
      </c>
      <c r="E190" s="4" t="s">
        <v>376</v>
      </c>
      <c r="F190" s="9">
        <v>33</v>
      </c>
      <c r="G190" s="10">
        <v>0</v>
      </c>
      <c r="H190" s="10">
        <v>0.2</v>
      </c>
    </row>
    <row r="191" spans="1:8" x14ac:dyDescent="0.25">
      <c r="A191" s="4" t="s">
        <v>684</v>
      </c>
      <c r="B191" s="5" t="s">
        <v>685</v>
      </c>
      <c r="C191" s="5" t="s">
        <v>61</v>
      </c>
      <c r="D191" s="4" t="s">
        <v>891</v>
      </c>
      <c r="E191" s="4" t="s">
        <v>376</v>
      </c>
      <c r="F191" s="9">
        <v>33</v>
      </c>
      <c r="G191" s="10">
        <v>0</v>
      </c>
      <c r="H191" s="10">
        <v>0.2</v>
      </c>
    </row>
    <row r="192" spans="1:8" x14ac:dyDescent="0.25">
      <c r="A192" s="4" t="s">
        <v>309</v>
      </c>
      <c r="B192" s="5" t="s">
        <v>311</v>
      </c>
      <c r="C192" s="5" t="s">
        <v>312</v>
      </c>
      <c r="D192" s="4" t="s">
        <v>909</v>
      </c>
      <c r="E192" s="4" t="s">
        <v>177</v>
      </c>
      <c r="F192" s="9">
        <v>40</v>
      </c>
      <c r="G192" s="10">
        <v>0</v>
      </c>
      <c r="H192" s="10">
        <v>0</v>
      </c>
    </row>
    <row r="193" spans="1:8" x14ac:dyDescent="0.25">
      <c r="A193" s="4" t="s">
        <v>313</v>
      </c>
      <c r="B193" s="5" t="s">
        <v>314</v>
      </c>
      <c r="C193" s="5" t="s">
        <v>312</v>
      </c>
      <c r="D193" s="4" t="s">
        <v>909</v>
      </c>
      <c r="E193" s="4" t="s">
        <v>177</v>
      </c>
      <c r="F193" s="9">
        <v>40</v>
      </c>
      <c r="G193" s="10">
        <v>0</v>
      </c>
      <c r="H193" s="10">
        <v>0</v>
      </c>
    </row>
    <row r="194" spans="1:8" x14ac:dyDescent="0.25">
      <c r="A194" s="4" t="s">
        <v>827</v>
      </c>
      <c r="B194" s="5" t="s">
        <v>829</v>
      </c>
      <c r="C194" s="5" t="s">
        <v>26</v>
      </c>
      <c r="D194" s="4" t="s">
        <v>889</v>
      </c>
      <c r="E194" s="4" t="s">
        <v>17</v>
      </c>
      <c r="F194" s="9">
        <v>26</v>
      </c>
      <c r="G194" s="10">
        <v>0</v>
      </c>
      <c r="H194" s="10">
        <v>0.5</v>
      </c>
    </row>
    <row r="195" spans="1:8" x14ac:dyDescent="0.25">
      <c r="A195" s="4" t="s">
        <v>445</v>
      </c>
      <c r="B195" s="5" t="s">
        <v>447</v>
      </c>
      <c r="C195" s="5" t="s">
        <v>26</v>
      </c>
      <c r="D195" s="4" t="s">
        <v>891</v>
      </c>
      <c r="E195" s="4" t="s">
        <v>17</v>
      </c>
      <c r="F195" s="9">
        <v>26.5</v>
      </c>
      <c r="G195" s="10">
        <v>0</v>
      </c>
      <c r="H195" s="10">
        <v>0</v>
      </c>
    </row>
    <row r="196" spans="1:8" x14ac:dyDescent="0.25">
      <c r="A196" s="4" t="s">
        <v>402</v>
      </c>
      <c r="B196" s="5" t="s">
        <v>404</v>
      </c>
      <c r="C196" s="5" t="s">
        <v>26</v>
      </c>
      <c r="D196" s="4" t="s">
        <v>891</v>
      </c>
      <c r="E196" s="4" t="s">
        <v>372</v>
      </c>
      <c r="F196" s="9">
        <v>30</v>
      </c>
      <c r="G196" s="10">
        <v>0</v>
      </c>
      <c r="H196" s="10">
        <v>0</v>
      </c>
    </row>
    <row r="197" spans="1:8" x14ac:dyDescent="0.25">
      <c r="A197" s="4" t="s">
        <v>641</v>
      </c>
      <c r="B197" s="5" t="s">
        <v>643</v>
      </c>
      <c r="C197" s="5" t="s">
        <v>322</v>
      </c>
      <c r="D197" s="4" t="s">
        <v>891</v>
      </c>
      <c r="E197" s="4" t="s">
        <v>177</v>
      </c>
      <c r="F197" s="9">
        <v>40</v>
      </c>
      <c r="G197" s="10">
        <v>0</v>
      </c>
      <c r="H197" s="10">
        <v>0</v>
      </c>
    </row>
    <row r="198" spans="1:8" x14ac:dyDescent="0.25">
      <c r="A198" s="4" t="s">
        <v>644</v>
      </c>
      <c r="B198" s="5" t="s">
        <v>645</v>
      </c>
      <c r="C198" s="5" t="s">
        <v>322</v>
      </c>
      <c r="D198" s="4" t="s">
        <v>891</v>
      </c>
      <c r="E198" s="4" t="s">
        <v>177</v>
      </c>
      <c r="F198" s="9">
        <v>40</v>
      </c>
      <c r="G198" s="10">
        <v>0</v>
      </c>
      <c r="H198" s="10">
        <v>0</v>
      </c>
    </row>
    <row r="199" spans="1:8" x14ac:dyDescent="0.25">
      <c r="A199" s="4" t="s">
        <v>646</v>
      </c>
      <c r="B199" s="5" t="s">
        <v>647</v>
      </c>
      <c r="C199" s="5" t="s">
        <v>322</v>
      </c>
      <c r="D199" s="4" t="s">
        <v>891</v>
      </c>
      <c r="E199" s="4" t="s">
        <v>177</v>
      </c>
      <c r="F199" s="9">
        <v>40</v>
      </c>
      <c r="G199" s="10">
        <v>0</v>
      </c>
      <c r="H199" s="10">
        <v>0</v>
      </c>
    </row>
    <row r="200" spans="1:8" x14ac:dyDescent="0.25">
      <c r="A200" s="4" t="s">
        <v>658</v>
      </c>
      <c r="B200" s="5" t="s">
        <v>660</v>
      </c>
      <c r="C200" s="5" t="s">
        <v>26</v>
      </c>
      <c r="D200" s="4" t="s">
        <v>891</v>
      </c>
      <c r="E200" s="4" t="s">
        <v>372</v>
      </c>
      <c r="F200" s="9">
        <v>30</v>
      </c>
      <c r="G200" s="10">
        <v>0</v>
      </c>
      <c r="H200" s="10">
        <v>0</v>
      </c>
    </row>
    <row r="201" spans="1:8" x14ac:dyDescent="0.25">
      <c r="A201" s="4" t="s">
        <v>661</v>
      </c>
      <c r="B201" s="5" t="s">
        <v>663</v>
      </c>
      <c r="C201" s="5" t="s">
        <v>18</v>
      </c>
      <c r="D201" s="4" t="s">
        <v>891</v>
      </c>
      <c r="E201" s="4" t="s">
        <v>376</v>
      </c>
      <c r="F201" s="9">
        <v>33</v>
      </c>
      <c r="G201" s="10">
        <v>0</v>
      </c>
      <c r="H201" s="10">
        <v>0.4</v>
      </c>
    </row>
    <row r="202" spans="1:8" x14ac:dyDescent="0.25">
      <c r="A202" s="4" t="s">
        <v>664</v>
      </c>
      <c r="B202" s="5" t="s">
        <v>666</v>
      </c>
      <c r="C202" s="5" t="s">
        <v>18</v>
      </c>
      <c r="D202" s="4" t="s">
        <v>891</v>
      </c>
      <c r="E202" s="4" t="s">
        <v>372</v>
      </c>
      <c r="F202" s="9">
        <v>30</v>
      </c>
      <c r="G202" s="10">
        <v>0</v>
      </c>
      <c r="H202" s="10">
        <v>0.5</v>
      </c>
    </row>
    <row r="203" spans="1:8" x14ac:dyDescent="0.25">
      <c r="A203" s="4" t="s">
        <v>386</v>
      </c>
      <c r="B203" s="5" t="s">
        <v>388</v>
      </c>
      <c r="C203" s="5" t="s">
        <v>18</v>
      </c>
      <c r="D203" s="4" t="s">
        <v>907</v>
      </c>
      <c r="E203" s="4" t="s">
        <v>299</v>
      </c>
      <c r="F203" s="9">
        <v>10</v>
      </c>
      <c r="G203" s="10">
        <v>0</v>
      </c>
      <c r="H203" s="10">
        <v>0</v>
      </c>
    </row>
    <row r="204" spans="1:8" x14ac:dyDescent="0.25">
      <c r="A204" s="4" t="s">
        <v>389</v>
      </c>
      <c r="B204" s="5" t="s">
        <v>390</v>
      </c>
      <c r="C204" s="5" t="s">
        <v>18</v>
      </c>
      <c r="D204" s="4" t="s">
        <v>907</v>
      </c>
      <c r="E204" s="4" t="s">
        <v>299</v>
      </c>
      <c r="F204" s="9">
        <v>10</v>
      </c>
      <c r="G204" s="10">
        <v>0</v>
      </c>
      <c r="H204" s="10">
        <v>0</v>
      </c>
    </row>
    <row r="205" spans="1:8" x14ac:dyDescent="0.25">
      <c r="A205" s="4" t="s">
        <v>391</v>
      </c>
      <c r="B205" s="5" t="s">
        <v>392</v>
      </c>
      <c r="C205" s="5" t="s">
        <v>18</v>
      </c>
      <c r="D205" s="4" t="s">
        <v>907</v>
      </c>
      <c r="E205" s="4" t="s">
        <v>299</v>
      </c>
      <c r="F205" s="9">
        <v>10</v>
      </c>
      <c r="G205" s="10">
        <v>0</v>
      </c>
      <c r="H205" s="10">
        <v>0</v>
      </c>
    </row>
    <row r="206" spans="1:8" x14ac:dyDescent="0.25">
      <c r="A206" s="4" t="s">
        <v>804</v>
      </c>
      <c r="B206" s="5" t="s">
        <v>806</v>
      </c>
      <c r="C206" s="5" t="s">
        <v>26</v>
      </c>
      <c r="D206" s="4" t="s">
        <v>896</v>
      </c>
      <c r="E206" s="4" t="s">
        <v>160</v>
      </c>
      <c r="F206" s="9">
        <v>18</v>
      </c>
      <c r="G206" s="10">
        <v>0</v>
      </c>
      <c r="H206" s="10">
        <v>0.4</v>
      </c>
    </row>
    <row r="207" spans="1:8" x14ac:dyDescent="0.25">
      <c r="A207" s="4" t="s">
        <v>509</v>
      </c>
      <c r="B207" s="5" t="s">
        <v>511</v>
      </c>
      <c r="C207" s="5" t="s">
        <v>26</v>
      </c>
      <c r="D207" s="4" t="s">
        <v>891</v>
      </c>
      <c r="E207" s="4" t="s">
        <v>17</v>
      </c>
      <c r="F207" s="9">
        <v>27</v>
      </c>
      <c r="G207" s="10">
        <v>0</v>
      </c>
      <c r="H207" s="10">
        <v>0</v>
      </c>
    </row>
    <row r="208" spans="1:8" x14ac:dyDescent="0.25">
      <c r="A208" s="4" t="s">
        <v>416</v>
      </c>
      <c r="B208" s="5" t="s">
        <v>418</v>
      </c>
      <c r="C208" s="5" t="s">
        <v>18</v>
      </c>
      <c r="D208" s="4" t="s">
        <v>889</v>
      </c>
      <c r="E208" s="4" t="s">
        <v>320</v>
      </c>
      <c r="F208" s="9">
        <v>40</v>
      </c>
      <c r="G208" s="10">
        <v>0</v>
      </c>
      <c r="H208" s="10">
        <v>0</v>
      </c>
    </row>
    <row r="209" spans="1:8" x14ac:dyDescent="0.25">
      <c r="A209" s="4" t="s">
        <v>737</v>
      </c>
      <c r="B209" s="5" t="s">
        <v>739</v>
      </c>
      <c r="C209" s="5" t="s">
        <v>26</v>
      </c>
      <c r="D209" s="4" t="s">
        <v>889</v>
      </c>
      <c r="E209" s="4" t="s">
        <v>537</v>
      </c>
      <c r="F209" s="9">
        <v>30</v>
      </c>
      <c r="G209" s="10">
        <v>0</v>
      </c>
      <c r="H209" s="10">
        <v>0</v>
      </c>
    </row>
    <row r="210" spans="1:8" x14ac:dyDescent="0.25">
      <c r="A210" s="4" t="s">
        <v>531</v>
      </c>
      <c r="B210" s="5" t="s">
        <v>533</v>
      </c>
      <c r="C210" s="5" t="s">
        <v>18</v>
      </c>
      <c r="D210" s="4" t="s">
        <v>889</v>
      </c>
      <c r="E210" s="4" t="s">
        <v>534</v>
      </c>
      <c r="F210" s="9">
        <v>44</v>
      </c>
      <c r="G210" s="10">
        <v>0</v>
      </c>
      <c r="H210" s="10">
        <v>0.6</v>
      </c>
    </row>
    <row r="211" spans="1:8" x14ac:dyDescent="0.25">
      <c r="A211" s="4" t="s">
        <v>535</v>
      </c>
      <c r="B211" s="5" t="s">
        <v>536</v>
      </c>
      <c r="C211" s="5" t="s">
        <v>18</v>
      </c>
      <c r="D211" s="4" t="s">
        <v>889</v>
      </c>
      <c r="E211" s="4" t="s">
        <v>537</v>
      </c>
      <c r="F211" s="9">
        <v>30</v>
      </c>
      <c r="G211" s="10">
        <v>0</v>
      </c>
      <c r="H211" s="10">
        <v>0</v>
      </c>
    </row>
    <row r="212" spans="1:8" x14ac:dyDescent="0.25">
      <c r="A212" s="4" t="s">
        <v>740</v>
      </c>
      <c r="B212" s="5" t="s">
        <v>741</v>
      </c>
      <c r="C212" s="5" t="s">
        <v>398</v>
      </c>
      <c r="D212" s="4" t="s">
        <v>889</v>
      </c>
      <c r="E212" s="4" t="s">
        <v>372</v>
      </c>
      <c r="F212" s="9">
        <v>30</v>
      </c>
      <c r="G212" s="10">
        <v>0</v>
      </c>
      <c r="H212" s="10">
        <v>0</v>
      </c>
    </row>
    <row r="213" spans="1:8" x14ac:dyDescent="0.25">
      <c r="A213" s="4" t="s">
        <v>405</v>
      </c>
      <c r="B213" s="5" t="s">
        <v>407</v>
      </c>
      <c r="C213" s="5" t="s">
        <v>26</v>
      </c>
      <c r="D213" s="4" t="s">
        <v>891</v>
      </c>
      <c r="E213" s="4" t="s">
        <v>911</v>
      </c>
      <c r="F213" s="9">
        <v>30</v>
      </c>
      <c r="G213" s="10">
        <v>0</v>
      </c>
      <c r="H213" s="10">
        <v>0</v>
      </c>
    </row>
    <row r="214" spans="1:8" x14ac:dyDescent="0.25">
      <c r="A214" s="4" t="s">
        <v>408</v>
      </c>
      <c r="B214" s="5" t="s">
        <v>409</v>
      </c>
      <c r="C214" s="5" t="s">
        <v>26</v>
      </c>
      <c r="D214" s="4" t="s">
        <v>891</v>
      </c>
      <c r="E214" s="4" t="s">
        <v>376</v>
      </c>
      <c r="F214" s="9">
        <v>33</v>
      </c>
      <c r="G214" s="10">
        <v>0</v>
      </c>
      <c r="H214" s="10">
        <v>0.8</v>
      </c>
    </row>
    <row r="215" spans="1:8" x14ac:dyDescent="0.25">
      <c r="A215" s="4" t="s">
        <v>871</v>
      </c>
      <c r="B215" s="5" t="s">
        <v>873</v>
      </c>
      <c r="C215" s="5" t="s">
        <v>26</v>
      </c>
      <c r="D215" s="4" t="s">
        <v>889</v>
      </c>
      <c r="E215" s="4" t="s">
        <v>874</v>
      </c>
      <c r="F215" s="9">
        <v>18</v>
      </c>
      <c r="G215" s="10">
        <v>0</v>
      </c>
      <c r="H215" s="10">
        <v>0.2</v>
      </c>
    </row>
    <row r="216" spans="1:8" x14ac:dyDescent="0.25">
      <c r="A216" s="4" t="s">
        <v>807</v>
      </c>
      <c r="B216" s="5" t="s">
        <v>809</v>
      </c>
      <c r="C216" s="5" t="s">
        <v>26</v>
      </c>
      <c r="D216" s="4" t="s">
        <v>891</v>
      </c>
      <c r="E216" s="4" t="s">
        <v>284</v>
      </c>
      <c r="F216" s="9">
        <v>22.5</v>
      </c>
      <c r="G216" s="10">
        <v>0</v>
      </c>
      <c r="H216" s="10">
        <v>0</v>
      </c>
    </row>
    <row r="217" spans="1:8" x14ac:dyDescent="0.25">
      <c r="A217" s="4" t="s">
        <v>810</v>
      </c>
      <c r="B217" s="5" t="s">
        <v>812</v>
      </c>
      <c r="C217" s="5" t="s">
        <v>26</v>
      </c>
      <c r="D217" s="4" t="s">
        <v>891</v>
      </c>
      <c r="E217" s="4" t="s">
        <v>177</v>
      </c>
      <c r="F217" s="9">
        <v>40</v>
      </c>
      <c r="G217" s="10">
        <v>0</v>
      </c>
      <c r="H217" s="10">
        <v>0</v>
      </c>
    </row>
    <row r="218" spans="1:8" x14ac:dyDescent="0.25">
      <c r="A218" s="4" t="s">
        <v>813</v>
      </c>
      <c r="B218" s="5" t="s">
        <v>815</v>
      </c>
      <c r="C218" s="5" t="s">
        <v>26</v>
      </c>
      <c r="D218" s="4" t="s">
        <v>897</v>
      </c>
      <c r="E218" s="4" t="s">
        <v>151</v>
      </c>
      <c r="F218" s="9">
        <v>24</v>
      </c>
      <c r="G218" s="10">
        <v>0</v>
      </c>
      <c r="H218" s="10">
        <v>0.8</v>
      </c>
    </row>
    <row r="219" spans="1:8" x14ac:dyDescent="0.25">
      <c r="A219" s="4" t="s">
        <v>816</v>
      </c>
      <c r="B219" s="5" t="s">
        <v>818</v>
      </c>
      <c r="C219" s="5" t="s">
        <v>26</v>
      </c>
      <c r="D219" s="4" t="s">
        <v>905</v>
      </c>
      <c r="E219" s="4" t="s">
        <v>177</v>
      </c>
      <c r="F219" s="9">
        <v>40</v>
      </c>
      <c r="G219" s="10">
        <v>0</v>
      </c>
      <c r="H219" s="10">
        <v>0</v>
      </c>
    </row>
    <row r="220" spans="1:8" x14ac:dyDescent="0.25">
      <c r="A220" s="4" t="s">
        <v>819</v>
      </c>
      <c r="B220" s="5" t="s">
        <v>821</v>
      </c>
      <c r="C220" s="5" t="s">
        <v>312</v>
      </c>
      <c r="D220" s="4" t="s">
        <v>905</v>
      </c>
      <c r="E220" s="4" t="s">
        <v>822</v>
      </c>
      <c r="F220" s="9">
        <v>8.8000000000000007</v>
      </c>
      <c r="G220" s="10">
        <v>0</v>
      </c>
      <c r="H220" s="10">
        <v>0.8</v>
      </c>
    </row>
    <row r="221" spans="1:8" x14ac:dyDescent="0.25">
      <c r="A221" s="4" t="s">
        <v>671</v>
      </c>
      <c r="B221" s="5" t="s">
        <v>673</v>
      </c>
      <c r="C221" s="5" t="s">
        <v>100</v>
      </c>
      <c r="D221" s="4" t="s">
        <v>889</v>
      </c>
      <c r="E221" s="4" t="s">
        <v>43</v>
      </c>
      <c r="F221" s="9">
        <v>30</v>
      </c>
      <c r="G221" s="10">
        <v>0</v>
      </c>
      <c r="H221" s="10">
        <v>0</v>
      </c>
    </row>
    <row r="222" spans="1:8" x14ac:dyDescent="0.25">
      <c r="A222" s="4" t="s">
        <v>674</v>
      </c>
      <c r="B222" s="5" t="s">
        <v>675</v>
      </c>
      <c r="C222" s="5" t="s">
        <v>219</v>
      </c>
      <c r="D222" s="4" t="s">
        <v>889</v>
      </c>
      <c r="E222" s="4" t="s">
        <v>912</v>
      </c>
      <c r="F222" s="9">
        <v>22</v>
      </c>
      <c r="G222" s="10">
        <v>0</v>
      </c>
      <c r="H222" s="10">
        <v>0.3</v>
      </c>
    </row>
    <row r="223" spans="1:8" x14ac:dyDescent="0.25">
      <c r="A223" s="4" t="s">
        <v>513</v>
      </c>
      <c r="B223" s="5" t="s">
        <v>515</v>
      </c>
      <c r="C223" s="5" t="s">
        <v>26</v>
      </c>
      <c r="D223" s="4" t="s">
        <v>889</v>
      </c>
      <c r="E223" s="4" t="s">
        <v>376</v>
      </c>
      <c r="F223" s="9">
        <v>33</v>
      </c>
      <c r="G223" s="10">
        <v>0</v>
      </c>
      <c r="H223" s="10">
        <v>0.1</v>
      </c>
    </row>
    <row r="224" spans="1:8" x14ac:dyDescent="0.25">
      <c r="A224" s="4" t="s">
        <v>761</v>
      </c>
      <c r="B224" s="5" t="s">
        <v>763</v>
      </c>
      <c r="C224" s="5" t="s">
        <v>38</v>
      </c>
      <c r="D224" s="4" t="s">
        <v>910</v>
      </c>
      <c r="E224" s="4" t="s">
        <v>764</v>
      </c>
      <c r="F224" s="9">
        <v>24</v>
      </c>
      <c r="G224" s="10">
        <v>0</v>
      </c>
      <c r="H224" s="10">
        <v>0.6</v>
      </c>
    </row>
    <row r="225" spans="1:8" x14ac:dyDescent="0.25">
      <c r="A225" s="4" t="s">
        <v>98</v>
      </c>
      <c r="B225" s="5" t="s">
        <v>99</v>
      </c>
      <c r="C225" s="5" t="s">
        <v>100</v>
      </c>
      <c r="D225" s="4" t="s">
        <v>890</v>
      </c>
      <c r="E225" s="4" t="s">
        <v>43</v>
      </c>
      <c r="F225" s="9">
        <v>30</v>
      </c>
      <c r="G225" s="10">
        <v>0</v>
      </c>
      <c r="H225" s="10">
        <v>0</v>
      </c>
    </row>
    <row r="226" spans="1:8" x14ac:dyDescent="0.25">
      <c r="A226" s="4" t="s">
        <v>744</v>
      </c>
      <c r="B226" s="5" t="s">
        <v>746</v>
      </c>
      <c r="C226" s="5" t="s">
        <v>61</v>
      </c>
      <c r="D226" s="4" t="s">
        <v>889</v>
      </c>
      <c r="E226" s="4" t="s">
        <v>372</v>
      </c>
      <c r="F226" s="9">
        <v>30</v>
      </c>
      <c r="G226" s="10">
        <v>0</v>
      </c>
      <c r="H226" s="10">
        <v>0</v>
      </c>
    </row>
    <row r="227" spans="1:8" x14ac:dyDescent="0.25">
      <c r="A227" s="4" t="s">
        <v>569</v>
      </c>
      <c r="B227" s="5" t="s">
        <v>571</v>
      </c>
      <c r="C227" s="5" t="s">
        <v>26</v>
      </c>
      <c r="D227" s="4" t="s">
        <v>905</v>
      </c>
      <c r="E227" s="4" t="s">
        <v>249</v>
      </c>
      <c r="F227" s="9">
        <v>15</v>
      </c>
      <c r="G227" s="10">
        <v>0</v>
      </c>
      <c r="H227" s="10">
        <v>0.5</v>
      </c>
    </row>
    <row r="228" spans="1:8" x14ac:dyDescent="0.25">
      <c r="A228" s="4" t="s">
        <v>572</v>
      </c>
      <c r="B228" s="5" t="s">
        <v>573</v>
      </c>
      <c r="C228" s="5" t="s">
        <v>26</v>
      </c>
      <c r="D228" s="4" t="s">
        <v>905</v>
      </c>
      <c r="E228" s="4" t="s">
        <v>249</v>
      </c>
      <c r="F228" s="9">
        <v>15</v>
      </c>
      <c r="G228" s="10">
        <v>0</v>
      </c>
      <c r="H228" s="10">
        <v>0.5</v>
      </c>
    </row>
    <row r="229" spans="1:8" x14ac:dyDescent="0.25">
      <c r="A229" s="4" t="s">
        <v>913</v>
      </c>
      <c r="B229" s="5" t="s">
        <v>914</v>
      </c>
      <c r="C229" s="5" t="s">
        <v>26</v>
      </c>
      <c r="D229" s="4" t="s">
        <v>889</v>
      </c>
      <c r="E229" s="4" t="s">
        <v>915</v>
      </c>
      <c r="F229" s="9">
        <v>38</v>
      </c>
      <c r="G229" s="10">
        <v>0</v>
      </c>
      <c r="H229" s="10">
        <v>0</v>
      </c>
    </row>
    <row r="230" spans="1:8" x14ac:dyDescent="0.25">
      <c r="A230" s="4" t="s">
        <v>747</v>
      </c>
      <c r="B230" s="5" t="s">
        <v>749</v>
      </c>
      <c r="C230" s="5" t="s">
        <v>26</v>
      </c>
      <c r="D230" s="4" t="s">
        <v>889</v>
      </c>
      <c r="E230" s="4" t="s">
        <v>17</v>
      </c>
      <c r="F230" s="9">
        <v>26.4</v>
      </c>
      <c r="G230" s="10">
        <v>0</v>
      </c>
      <c r="H230" s="10">
        <v>0</v>
      </c>
    </row>
    <row r="231" spans="1:8" x14ac:dyDescent="0.25">
      <c r="A231" s="4" t="s">
        <v>369</v>
      </c>
      <c r="B231" s="5" t="s">
        <v>371</v>
      </c>
      <c r="C231" s="5" t="s">
        <v>26</v>
      </c>
      <c r="D231" s="4" t="s">
        <v>895</v>
      </c>
      <c r="E231" s="4" t="s">
        <v>372</v>
      </c>
      <c r="F231" s="9">
        <v>30</v>
      </c>
      <c r="G231" s="10">
        <v>0</v>
      </c>
      <c r="H231" s="10">
        <v>0</v>
      </c>
    </row>
    <row r="232" spans="1:8" x14ac:dyDescent="0.25">
      <c r="A232" s="4" t="s">
        <v>373</v>
      </c>
      <c r="B232" s="5" t="s">
        <v>375</v>
      </c>
      <c r="C232" s="5" t="s">
        <v>26</v>
      </c>
      <c r="D232" s="4" t="s">
        <v>895</v>
      </c>
      <c r="E232" s="4" t="s">
        <v>376</v>
      </c>
      <c r="F232" s="9">
        <v>33</v>
      </c>
      <c r="G232" s="10">
        <v>0</v>
      </c>
      <c r="H232" s="10">
        <v>0.5</v>
      </c>
    </row>
    <row r="233" spans="1:8" x14ac:dyDescent="0.25">
      <c r="A233" s="4" t="s">
        <v>377</v>
      </c>
      <c r="B233" s="5" t="s">
        <v>379</v>
      </c>
      <c r="C233" s="5" t="s">
        <v>26</v>
      </c>
      <c r="D233" s="4" t="s">
        <v>895</v>
      </c>
      <c r="E233" s="4" t="s">
        <v>372</v>
      </c>
      <c r="F233" s="9">
        <v>30</v>
      </c>
      <c r="G233" s="10">
        <v>0</v>
      </c>
      <c r="H233" s="10">
        <v>0</v>
      </c>
    </row>
    <row r="234" spans="1:8" x14ac:dyDescent="0.25">
      <c r="A234" s="4" t="s">
        <v>691</v>
      </c>
      <c r="B234" s="5" t="s">
        <v>693</v>
      </c>
      <c r="C234" s="5" t="s">
        <v>61</v>
      </c>
      <c r="D234" s="4" t="s">
        <v>889</v>
      </c>
      <c r="E234" s="4" t="s">
        <v>376</v>
      </c>
      <c r="F234" s="9">
        <v>33</v>
      </c>
      <c r="G234" s="10">
        <v>0</v>
      </c>
      <c r="H234" s="10">
        <v>0.4</v>
      </c>
    </row>
    <row r="235" spans="1:8" x14ac:dyDescent="0.25">
      <c r="A235" s="4" t="s">
        <v>694</v>
      </c>
      <c r="B235" s="5" t="s">
        <v>695</v>
      </c>
      <c r="C235" s="5" t="s">
        <v>61</v>
      </c>
      <c r="D235" s="4" t="s">
        <v>889</v>
      </c>
      <c r="E235" s="4" t="s">
        <v>376</v>
      </c>
      <c r="F235" s="9">
        <v>33</v>
      </c>
      <c r="G235" s="10">
        <v>0</v>
      </c>
      <c r="H235" s="10">
        <v>0.7</v>
      </c>
    </row>
    <row r="236" spans="1:8" x14ac:dyDescent="0.25">
      <c r="A236" s="4" t="s">
        <v>697</v>
      </c>
      <c r="B236" s="5" t="s">
        <v>699</v>
      </c>
      <c r="C236" s="5" t="s">
        <v>398</v>
      </c>
      <c r="D236" s="4" t="s">
        <v>889</v>
      </c>
      <c r="E236" s="4" t="s">
        <v>372</v>
      </c>
      <c r="F236" s="9">
        <v>30</v>
      </c>
      <c r="G236" s="10">
        <v>0</v>
      </c>
      <c r="H236" s="10">
        <v>0</v>
      </c>
    </row>
    <row r="237" spans="1:8" x14ac:dyDescent="0.25">
      <c r="A237" s="4" t="s">
        <v>315</v>
      </c>
      <c r="B237" s="5" t="s">
        <v>316</v>
      </c>
      <c r="C237" s="5" t="s">
        <v>18</v>
      </c>
      <c r="D237" s="4" t="s">
        <v>909</v>
      </c>
      <c r="E237" s="4" t="s">
        <v>218</v>
      </c>
      <c r="F237" s="9">
        <v>20</v>
      </c>
      <c r="G237" s="10">
        <v>0</v>
      </c>
      <c r="H237" s="10">
        <v>0</v>
      </c>
    </row>
    <row r="238" spans="1:8" x14ac:dyDescent="0.25">
      <c r="A238" s="4" t="s">
        <v>317</v>
      </c>
      <c r="B238" s="5" t="s">
        <v>319</v>
      </c>
      <c r="C238" s="5" t="s">
        <v>26</v>
      </c>
      <c r="D238" s="4" t="s">
        <v>909</v>
      </c>
      <c r="E238" s="4" t="s">
        <v>320</v>
      </c>
      <c r="F238" s="9">
        <v>40</v>
      </c>
      <c r="G238" s="10">
        <v>0</v>
      </c>
      <c r="H238" s="10">
        <v>0</v>
      </c>
    </row>
    <row r="239" spans="1:8" x14ac:dyDescent="0.25">
      <c r="A239" s="4" t="s">
        <v>317</v>
      </c>
      <c r="B239" s="5" t="s">
        <v>321</v>
      </c>
      <c r="C239" s="5" t="s">
        <v>322</v>
      </c>
      <c r="D239" s="4" t="s">
        <v>909</v>
      </c>
      <c r="E239" s="4" t="s">
        <v>320</v>
      </c>
      <c r="F239" s="9">
        <v>40</v>
      </c>
      <c r="G239" s="10">
        <v>0</v>
      </c>
      <c r="H239" s="10">
        <v>0</v>
      </c>
    </row>
    <row r="240" spans="1:8" x14ac:dyDescent="0.25">
      <c r="A240" s="4" t="s">
        <v>323</v>
      </c>
      <c r="B240" s="5" t="s">
        <v>325</v>
      </c>
      <c r="C240" s="5" t="s">
        <v>322</v>
      </c>
      <c r="D240" s="4" t="s">
        <v>909</v>
      </c>
      <c r="E240" s="4" t="s">
        <v>320</v>
      </c>
      <c r="F240" s="9">
        <v>40</v>
      </c>
      <c r="G240" s="10">
        <v>0</v>
      </c>
      <c r="H240" s="10">
        <v>0</v>
      </c>
    </row>
    <row r="241" spans="1:8" x14ac:dyDescent="0.25">
      <c r="A241" s="4" t="s">
        <v>323</v>
      </c>
      <c r="B241" s="5" t="s">
        <v>324</v>
      </c>
      <c r="C241" s="5" t="s">
        <v>26</v>
      </c>
      <c r="D241" s="4" t="s">
        <v>909</v>
      </c>
      <c r="E241" s="4" t="s">
        <v>320</v>
      </c>
      <c r="F241" s="9">
        <v>40</v>
      </c>
      <c r="G241" s="10">
        <v>0</v>
      </c>
      <c r="H241" s="10">
        <v>0</v>
      </c>
    </row>
    <row r="242" spans="1:8" x14ac:dyDescent="0.25">
      <c r="A242" s="4" t="s">
        <v>326</v>
      </c>
      <c r="B242" s="5" t="s">
        <v>328</v>
      </c>
      <c r="C242" s="5" t="s">
        <v>18</v>
      </c>
      <c r="D242" s="4" t="s">
        <v>909</v>
      </c>
      <c r="E242" s="4" t="s">
        <v>177</v>
      </c>
      <c r="F242" s="9">
        <v>40</v>
      </c>
      <c r="G242" s="10">
        <v>0</v>
      </c>
      <c r="H242" s="10">
        <v>0.8</v>
      </c>
    </row>
    <row r="243" spans="1:8" x14ac:dyDescent="0.25">
      <c r="A243" s="4" t="s">
        <v>329</v>
      </c>
      <c r="B243" s="5" t="s">
        <v>330</v>
      </c>
      <c r="C243" s="5" t="s">
        <v>18</v>
      </c>
      <c r="D243" s="4" t="s">
        <v>909</v>
      </c>
      <c r="E243" s="4" t="s">
        <v>177</v>
      </c>
      <c r="F243" s="9">
        <v>40</v>
      </c>
      <c r="G243" s="10">
        <v>0</v>
      </c>
      <c r="H243" s="10">
        <v>0.8</v>
      </c>
    </row>
    <row r="244" spans="1:8" x14ac:dyDescent="0.25">
      <c r="A244" s="4" t="s">
        <v>331</v>
      </c>
      <c r="B244" s="5" t="s">
        <v>332</v>
      </c>
      <c r="C244" s="5" t="s">
        <v>18</v>
      </c>
      <c r="D244" s="4" t="s">
        <v>909</v>
      </c>
      <c r="E244" s="4" t="s">
        <v>333</v>
      </c>
      <c r="F244" s="9">
        <v>30</v>
      </c>
      <c r="G244" s="10">
        <v>0</v>
      </c>
      <c r="H244" s="10">
        <v>0.5</v>
      </c>
    </row>
    <row r="245" spans="1:8" x14ac:dyDescent="0.25">
      <c r="A245" s="4" t="s">
        <v>334</v>
      </c>
      <c r="B245" s="5" t="s">
        <v>335</v>
      </c>
      <c r="C245" s="5" t="s">
        <v>18</v>
      </c>
      <c r="D245" s="4" t="s">
        <v>909</v>
      </c>
      <c r="E245" s="4" t="s">
        <v>177</v>
      </c>
      <c r="F245" s="9">
        <v>40</v>
      </c>
      <c r="G245" s="10">
        <v>0</v>
      </c>
      <c r="H245" s="10">
        <v>0</v>
      </c>
    </row>
    <row r="246" spans="1:8" x14ac:dyDescent="0.25">
      <c r="A246" s="4" t="s">
        <v>336</v>
      </c>
      <c r="B246" s="5" t="s">
        <v>337</v>
      </c>
      <c r="C246" s="5" t="s">
        <v>18</v>
      </c>
      <c r="D246" s="4" t="s">
        <v>909</v>
      </c>
      <c r="E246" s="4" t="s">
        <v>177</v>
      </c>
      <c r="F246" s="9">
        <v>40</v>
      </c>
      <c r="G246" s="10">
        <v>0</v>
      </c>
      <c r="H246" s="10">
        <v>0</v>
      </c>
    </row>
    <row r="247" spans="1:8" x14ac:dyDescent="0.25">
      <c r="A247" s="4" t="s">
        <v>338</v>
      </c>
      <c r="B247" s="5" t="s">
        <v>339</v>
      </c>
      <c r="C247" s="5" t="s">
        <v>18</v>
      </c>
      <c r="D247" s="4" t="s">
        <v>909</v>
      </c>
      <c r="E247" s="4" t="s">
        <v>177</v>
      </c>
      <c r="F247" s="9">
        <v>40</v>
      </c>
      <c r="G247" s="10">
        <v>0</v>
      </c>
      <c r="H247" s="10">
        <v>0.8</v>
      </c>
    </row>
    <row r="248" spans="1:8" x14ac:dyDescent="0.25">
      <c r="A248" s="4" t="s">
        <v>340</v>
      </c>
      <c r="B248" s="5" t="s">
        <v>342</v>
      </c>
      <c r="C248" s="5" t="s">
        <v>312</v>
      </c>
      <c r="D248" s="4" t="s">
        <v>909</v>
      </c>
      <c r="E248" s="4" t="s">
        <v>177</v>
      </c>
      <c r="F248" s="9">
        <v>40</v>
      </c>
      <c r="G248" s="10">
        <v>0</v>
      </c>
      <c r="H248" s="10">
        <v>0</v>
      </c>
    </row>
    <row r="249" spans="1:8" x14ac:dyDescent="0.25">
      <c r="A249" s="4" t="s">
        <v>343</v>
      </c>
      <c r="B249" s="5" t="s">
        <v>344</v>
      </c>
      <c r="C249" s="5" t="s">
        <v>312</v>
      </c>
      <c r="D249" s="4" t="s">
        <v>909</v>
      </c>
      <c r="E249" s="4" t="s">
        <v>177</v>
      </c>
      <c r="F249" s="9">
        <v>40</v>
      </c>
      <c r="G249" s="10">
        <v>0</v>
      </c>
      <c r="H249" s="10">
        <v>0</v>
      </c>
    </row>
    <row r="250" spans="1:8" x14ac:dyDescent="0.25">
      <c r="A250" s="4" t="s">
        <v>345</v>
      </c>
      <c r="B250" s="5" t="s">
        <v>346</v>
      </c>
      <c r="C250" s="5" t="s">
        <v>312</v>
      </c>
      <c r="D250" s="4" t="s">
        <v>909</v>
      </c>
      <c r="E250" s="4" t="s">
        <v>177</v>
      </c>
      <c r="F250" s="9">
        <v>40</v>
      </c>
      <c r="G250" s="10">
        <v>0</v>
      </c>
      <c r="H250" s="10">
        <v>0</v>
      </c>
    </row>
    <row r="251" spans="1:8" x14ac:dyDescent="0.25">
      <c r="A251" s="4" t="s">
        <v>347</v>
      </c>
      <c r="B251" s="5" t="s">
        <v>348</v>
      </c>
      <c r="C251" s="5" t="s">
        <v>312</v>
      </c>
      <c r="D251" s="4" t="s">
        <v>909</v>
      </c>
      <c r="E251" s="4" t="s">
        <v>177</v>
      </c>
      <c r="F251" s="9">
        <v>40</v>
      </c>
      <c r="G251" s="10">
        <v>0</v>
      </c>
      <c r="H251" s="10">
        <v>0</v>
      </c>
    </row>
    <row r="252" spans="1:8" x14ac:dyDescent="0.25">
      <c r="A252" s="4" t="s">
        <v>255</v>
      </c>
      <c r="B252" s="5" t="s">
        <v>257</v>
      </c>
      <c r="C252" s="5" t="s">
        <v>26</v>
      </c>
      <c r="D252" s="4" t="s">
        <v>893</v>
      </c>
      <c r="E252" s="4" t="s">
        <v>160</v>
      </c>
      <c r="F252" s="9">
        <v>18</v>
      </c>
      <c r="G252" s="10">
        <v>0</v>
      </c>
      <c r="H252" s="10">
        <v>0.6</v>
      </c>
    </row>
    <row r="253" spans="1:8" x14ac:dyDescent="0.25">
      <c r="A253" s="4" t="s">
        <v>750</v>
      </c>
      <c r="B253" s="5" t="s">
        <v>752</v>
      </c>
      <c r="C253" s="5" t="s">
        <v>61</v>
      </c>
      <c r="D253" s="4" t="s">
        <v>903</v>
      </c>
      <c r="E253" s="4" t="s">
        <v>376</v>
      </c>
      <c r="F253" s="9">
        <v>33</v>
      </c>
      <c r="G253" s="10">
        <v>0</v>
      </c>
      <c r="H253" s="10">
        <v>0</v>
      </c>
    </row>
    <row r="254" spans="1:8" x14ac:dyDescent="0.25">
      <c r="A254" s="4" t="s">
        <v>916</v>
      </c>
      <c r="B254" s="5" t="s">
        <v>125</v>
      </c>
      <c r="C254" s="5" t="s">
        <v>127</v>
      </c>
      <c r="D254" s="4" t="s">
        <v>899</v>
      </c>
      <c r="E254" s="4" t="s">
        <v>126</v>
      </c>
      <c r="F254" s="9">
        <v>40</v>
      </c>
      <c r="G254" s="10">
        <v>0</v>
      </c>
      <c r="H254" s="10">
        <v>0</v>
      </c>
    </row>
    <row r="255" spans="1:8" x14ac:dyDescent="0.25">
      <c r="A255" s="4" t="s">
        <v>917</v>
      </c>
      <c r="B255" s="5" t="s">
        <v>129</v>
      </c>
      <c r="C255" s="5" t="s">
        <v>127</v>
      </c>
      <c r="D255" s="4" t="s">
        <v>899</v>
      </c>
      <c r="E255" s="4" t="s">
        <v>126</v>
      </c>
      <c r="F255" s="9">
        <v>40</v>
      </c>
      <c r="G255" s="10">
        <v>0</v>
      </c>
      <c r="H255" s="10">
        <v>0</v>
      </c>
    </row>
    <row r="256" spans="1:8" x14ac:dyDescent="0.25">
      <c r="A256" s="4" t="s">
        <v>287</v>
      </c>
      <c r="B256" s="5" t="s">
        <v>289</v>
      </c>
      <c r="C256" s="5" t="s">
        <v>290</v>
      </c>
      <c r="D256" s="4" t="s">
        <v>893</v>
      </c>
      <c r="E256" s="4" t="s">
        <v>37</v>
      </c>
      <c r="F256" s="9">
        <v>22</v>
      </c>
      <c r="G256" s="10">
        <v>0</v>
      </c>
      <c r="H256" s="10">
        <v>0.6</v>
      </c>
    </row>
    <row r="257" spans="1:8" x14ac:dyDescent="0.25">
      <c r="A257" s="4" t="s">
        <v>875</v>
      </c>
      <c r="B257" s="5" t="s">
        <v>877</v>
      </c>
      <c r="C257" s="5" t="s">
        <v>26</v>
      </c>
      <c r="D257" s="4" t="s">
        <v>903</v>
      </c>
      <c r="E257" s="4" t="s">
        <v>861</v>
      </c>
      <c r="F257" s="9">
        <v>48</v>
      </c>
      <c r="G257" s="10">
        <v>0</v>
      </c>
      <c r="H257" s="10">
        <v>0.4</v>
      </c>
    </row>
    <row r="258" spans="1:8" x14ac:dyDescent="0.25">
      <c r="A258" s="4" t="s">
        <v>291</v>
      </c>
      <c r="B258" s="5" t="s">
        <v>293</v>
      </c>
      <c r="C258" s="5" t="s">
        <v>26</v>
      </c>
      <c r="D258" s="4" t="s">
        <v>893</v>
      </c>
      <c r="E258" s="4" t="s">
        <v>294</v>
      </c>
      <c r="F258" s="9">
        <v>30</v>
      </c>
      <c r="G258" s="10">
        <v>0</v>
      </c>
      <c r="H258" s="10">
        <v>0</v>
      </c>
    </row>
    <row r="259" spans="1:8" x14ac:dyDescent="0.25">
      <c r="A259" s="4" t="s">
        <v>830</v>
      </c>
      <c r="B259" s="5" t="s">
        <v>832</v>
      </c>
      <c r="C259" s="5" t="s">
        <v>26</v>
      </c>
      <c r="D259" s="4" t="s">
        <v>889</v>
      </c>
      <c r="E259" s="4" t="s">
        <v>17</v>
      </c>
      <c r="F259" s="9">
        <v>26</v>
      </c>
      <c r="G259" s="10">
        <v>0</v>
      </c>
      <c r="H259" s="10">
        <v>0</v>
      </c>
    </row>
    <row r="260" spans="1:8" x14ac:dyDescent="0.25">
      <c r="A260" s="4" t="s">
        <v>130</v>
      </c>
      <c r="B260" s="5" t="s">
        <v>132</v>
      </c>
      <c r="C260" s="5" t="s">
        <v>127</v>
      </c>
      <c r="D260" s="4" t="s">
        <v>899</v>
      </c>
      <c r="E260" s="4" t="s">
        <v>133</v>
      </c>
      <c r="F260" s="9">
        <v>40</v>
      </c>
      <c r="G260" s="10">
        <v>0</v>
      </c>
      <c r="H260" s="10">
        <v>0</v>
      </c>
    </row>
    <row r="261" spans="1:8" x14ac:dyDescent="0.25">
      <c r="A261" s="4" t="s">
        <v>134</v>
      </c>
      <c r="B261" s="5" t="s">
        <v>135</v>
      </c>
      <c r="C261" s="5" t="s">
        <v>127</v>
      </c>
      <c r="D261" s="4" t="s">
        <v>899</v>
      </c>
      <c r="E261" s="4" t="s">
        <v>126</v>
      </c>
      <c r="F261" s="9">
        <v>40</v>
      </c>
      <c r="G261" s="10">
        <v>0</v>
      </c>
      <c r="H261" s="10">
        <v>0</v>
      </c>
    </row>
    <row r="262" spans="1:8" x14ac:dyDescent="0.25">
      <c r="A262" s="4" t="s">
        <v>136</v>
      </c>
      <c r="B262" s="5" t="s">
        <v>138</v>
      </c>
      <c r="C262" s="5" t="s">
        <v>127</v>
      </c>
      <c r="D262" s="4" t="s">
        <v>899</v>
      </c>
      <c r="E262" s="4" t="s">
        <v>918</v>
      </c>
      <c r="F262" s="9">
        <v>24</v>
      </c>
      <c r="G262" s="10">
        <v>0</v>
      </c>
      <c r="H262" s="10">
        <v>0.4</v>
      </c>
    </row>
    <row r="263" spans="1:8" x14ac:dyDescent="0.25">
      <c r="A263" s="4" t="s">
        <v>140</v>
      </c>
      <c r="B263" s="5" t="s">
        <v>141</v>
      </c>
      <c r="C263" s="5" t="s">
        <v>127</v>
      </c>
      <c r="D263" s="4" t="s">
        <v>899</v>
      </c>
      <c r="E263" s="4" t="s">
        <v>139</v>
      </c>
      <c r="F263" s="9">
        <v>24</v>
      </c>
      <c r="G263" s="10">
        <v>0</v>
      </c>
      <c r="H263" s="10">
        <v>0.4</v>
      </c>
    </row>
    <row r="264" spans="1:8" x14ac:dyDescent="0.25">
      <c r="A264" s="4" t="s">
        <v>142</v>
      </c>
      <c r="B264" s="5" t="s">
        <v>143</v>
      </c>
      <c r="C264" s="5" t="s">
        <v>127</v>
      </c>
      <c r="D264" s="4" t="s">
        <v>899</v>
      </c>
      <c r="E264" s="4" t="s">
        <v>918</v>
      </c>
      <c r="F264" s="9">
        <v>24</v>
      </c>
      <c r="G264" s="10">
        <v>0</v>
      </c>
      <c r="H264" s="10">
        <v>0.6</v>
      </c>
    </row>
    <row r="265" spans="1:8" x14ac:dyDescent="0.25">
      <c r="A265" s="4" t="s">
        <v>144</v>
      </c>
      <c r="B265" s="5" t="s">
        <v>145</v>
      </c>
      <c r="C265" s="5" t="s">
        <v>127</v>
      </c>
      <c r="D265" s="4" t="s">
        <v>899</v>
      </c>
      <c r="E265" s="4" t="s">
        <v>139</v>
      </c>
      <c r="F265" s="9">
        <v>24</v>
      </c>
      <c r="G265" s="10">
        <v>0</v>
      </c>
      <c r="H265" s="10">
        <v>0.6</v>
      </c>
    </row>
    <row r="266" spans="1:8" x14ac:dyDescent="0.25">
      <c r="A266" s="4" t="s">
        <v>667</v>
      </c>
      <c r="B266" s="5" t="s">
        <v>669</v>
      </c>
      <c r="C266" s="5" t="s">
        <v>52</v>
      </c>
      <c r="D266" s="4" t="s">
        <v>891</v>
      </c>
      <c r="E266" s="4" t="s">
        <v>372</v>
      </c>
      <c r="F266" s="9">
        <v>30</v>
      </c>
      <c r="G266" s="10">
        <v>0</v>
      </c>
      <c r="H266" s="10">
        <v>0</v>
      </c>
    </row>
    <row r="267" spans="1:8" x14ac:dyDescent="0.25">
      <c r="A267" s="4" t="s">
        <v>452</v>
      </c>
      <c r="B267" s="5" t="s">
        <v>454</v>
      </c>
      <c r="C267" s="5" t="s">
        <v>18</v>
      </c>
      <c r="D267" s="4" t="s">
        <v>891</v>
      </c>
      <c r="E267" s="4" t="s">
        <v>299</v>
      </c>
      <c r="F267" s="9">
        <v>10</v>
      </c>
      <c r="G267" s="10">
        <v>0</v>
      </c>
      <c r="H267" s="10">
        <v>0</v>
      </c>
    </row>
    <row r="268" spans="1:8" x14ac:dyDescent="0.25">
      <c r="A268" s="4" t="s">
        <v>460</v>
      </c>
      <c r="B268" s="5" t="s">
        <v>462</v>
      </c>
      <c r="C268" s="5" t="s">
        <v>26</v>
      </c>
      <c r="D268" s="4" t="s">
        <v>891</v>
      </c>
      <c r="E268" s="4" t="s">
        <v>17</v>
      </c>
      <c r="F268" s="9">
        <v>26.5</v>
      </c>
      <c r="G268" s="10">
        <v>0</v>
      </c>
      <c r="H268" s="10">
        <v>0</v>
      </c>
    </row>
    <row r="269" spans="1:8" x14ac:dyDescent="0.25">
      <c r="A269" s="4" t="s">
        <v>463</v>
      </c>
      <c r="B269" s="5" t="s">
        <v>465</v>
      </c>
      <c r="C269" s="5" t="s">
        <v>26</v>
      </c>
      <c r="D269" s="4" t="s">
        <v>891</v>
      </c>
      <c r="E269" s="4" t="s">
        <v>43</v>
      </c>
      <c r="F269" s="9">
        <v>30</v>
      </c>
      <c r="G269" s="10">
        <v>0</v>
      </c>
      <c r="H269" s="10">
        <v>0</v>
      </c>
    </row>
    <row r="270" spans="1:8" x14ac:dyDescent="0.25">
      <c r="A270" s="4" t="s">
        <v>466</v>
      </c>
      <c r="B270" s="5" t="s">
        <v>468</v>
      </c>
      <c r="C270" s="5" t="s">
        <v>398</v>
      </c>
      <c r="D270" s="4" t="s">
        <v>891</v>
      </c>
      <c r="E270" s="4" t="s">
        <v>17</v>
      </c>
      <c r="F270" s="9">
        <v>26.5</v>
      </c>
      <c r="G270" s="10">
        <v>0</v>
      </c>
      <c r="H270" s="10">
        <v>0</v>
      </c>
    </row>
    <row r="271" spans="1:8" x14ac:dyDescent="0.25">
      <c r="A271" s="4" t="s">
        <v>753</v>
      </c>
      <c r="B271" s="5" t="s">
        <v>755</v>
      </c>
      <c r="C271" s="5" t="s">
        <v>26</v>
      </c>
      <c r="D271" s="4" t="s">
        <v>889</v>
      </c>
      <c r="E271" s="4" t="s">
        <v>17</v>
      </c>
      <c r="F271" s="9">
        <v>27</v>
      </c>
      <c r="G271" s="10">
        <v>0</v>
      </c>
      <c r="H271" s="10">
        <v>0</v>
      </c>
    </row>
    <row r="272" spans="1:8" x14ac:dyDescent="0.25">
      <c r="A272" s="4" t="s">
        <v>878</v>
      </c>
      <c r="B272" s="5" t="s">
        <v>880</v>
      </c>
      <c r="C272" s="5" t="s">
        <v>26</v>
      </c>
      <c r="D272" s="4" t="s">
        <v>889</v>
      </c>
      <c r="E272" s="4" t="s">
        <v>881</v>
      </c>
      <c r="F272" s="9">
        <v>10</v>
      </c>
      <c r="G272" s="10">
        <v>0</v>
      </c>
      <c r="H272" s="10">
        <v>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614"/>
  <sheetViews>
    <sheetView workbookViewId="0"/>
  </sheetViews>
  <sheetFormatPr defaultRowHeight="15" x14ac:dyDescent="0.25"/>
  <cols>
    <col min="1" max="1" width="33.28515625" style="79" bestFit="1" customWidth="1"/>
    <col min="2" max="2" width="6.28515625" style="79" bestFit="1" customWidth="1"/>
    <col min="3" max="3" width="19.140625" style="79" bestFit="1" customWidth="1"/>
    <col min="4" max="4" width="14.28515625" style="79" bestFit="1" customWidth="1"/>
    <col min="5" max="5" width="11.5703125" style="79" bestFit="1" customWidth="1"/>
    <col min="6" max="6" width="8" style="79" bestFit="1" customWidth="1"/>
    <col min="7" max="7" width="6.140625" style="79" bestFit="1" customWidth="1"/>
    <col min="8" max="8" width="13.140625" style="79" bestFit="1" customWidth="1"/>
  </cols>
  <sheetData>
    <row r="2" spans="1:8" x14ac:dyDescent="0.25">
      <c r="A2" t="s">
        <v>919</v>
      </c>
      <c r="C2" t="s">
        <v>920</v>
      </c>
      <c r="D2" t="s">
        <v>921</v>
      </c>
      <c r="G2" t="s">
        <v>922</v>
      </c>
      <c r="H2" t="s">
        <v>923</v>
      </c>
    </row>
    <row r="3" spans="1:8" x14ac:dyDescent="0.25">
      <c r="A3" t="s">
        <v>924</v>
      </c>
      <c r="C3" t="s">
        <v>925</v>
      </c>
      <c r="D3" t="s">
        <v>926</v>
      </c>
      <c r="G3" t="s">
        <v>927</v>
      </c>
      <c r="H3" t="s">
        <v>928</v>
      </c>
    </row>
    <row r="5" spans="1:8" x14ac:dyDescent="0.25">
      <c r="A5" t="s">
        <v>929</v>
      </c>
      <c r="B5" t="s">
        <v>930</v>
      </c>
      <c r="C5" t="s">
        <v>931</v>
      </c>
      <c r="D5" t="s">
        <v>932</v>
      </c>
      <c r="E5" t="s">
        <v>933</v>
      </c>
      <c r="F5" t="s">
        <v>934</v>
      </c>
      <c r="G5" t="s">
        <v>935</v>
      </c>
      <c r="H5" t="s">
        <v>936</v>
      </c>
    </row>
    <row r="7" spans="1:8" x14ac:dyDescent="0.25">
      <c r="A7" t="s">
        <v>810</v>
      </c>
      <c r="B7" t="s">
        <v>812</v>
      </c>
      <c r="C7" t="s">
        <v>26</v>
      </c>
      <c r="D7" t="s">
        <v>19</v>
      </c>
      <c r="E7" t="s">
        <v>177</v>
      </c>
      <c r="F7">
        <v>40</v>
      </c>
      <c r="G7">
        <v>5.6</v>
      </c>
      <c r="H7">
        <v>224</v>
      </c>
    </row>
    <row r="8" spans="1:8" x14ac:dyDescent="0.25">
      <c r="A8" t="s">
        <v>816</v>
      </c>
      <c r="B8" t="s">
        <v>818</v>
      </c>
      <c r="C8" t="s">
        <v>26</v>
      </c>
      <c r="D8" t="s">
        <v>19</v>
      </c>
      <c r="E8" t="s">
        <v>177</v>
      </c>
      <c r="F8">
        <v>40</v>
      </c>
      <c r="G8">
        <v>8.6999999999999993</v>
      </c>
      <c r="H8">
        <v>348</v>
      </c>
    </row>
    <row r="9" spans="1:8" x14ac:dyDescent="0.25">
      <c r="A9" t="s">
        <v>819</v>
      </c>
      <c r="B9" t="s">
        <v>821</v>
      </c>
      <c r="C9" t="s">
        <v>312</v>
      </c>
      <c r="D9" t="s">
        <v>19</v>
      </c>
      <c r="E9" t="s">
        <v>822</v>
      </c>
      <c r="F9">
        <v>8.8000000000000007</v>
      </c>
      <c r="G9">
        <v>1.9</v>
      </c>
      <c r="H9">
        <v>41.8</v>
      </c>
    </row>
    <row r="10" spans="1:8" x14ac:dyDescent="0.25">
      <c r="A10" t="s">
        <v>782</v>
      </c>
      <c r="B10" t="s">
        <v>784</v>
      </c>
      <c r="C10" t="s">
        <v>26</v>
      </c>
      <c r="D10" t="s">
        <v>19</v>
      </c>
      <c r="E10" t="s">
        <v>772</v>
      </c>
      <c r="F10">
        <v>10</v>
      </c>
      <c r="G10">
        <v>3.8</v>
      </c>
      <c r="H10">
        <v>76</v>
      </c>
    </row>
    <row r="11" spans="1:8" x14ac:dyDescent="0.25">
      <c r="A11" t="s">
        <v>779</v>
      </c>
      <c r="B11" t="s">
        <v>781</v>
      </c>
      <c r="C11" t="s">
        <v>26</v>
      </c>
      <c r="D11" t="s">
        <v>19</v>
      </c>
      <c r="E11" t="s">
        <v>299</v>
      </c>
      <c r="F11">
        <v>10</v>
      </c>
      <c r="G11">
        <v>7.5</v>
      </c>
      <c r="H11">
        <v>75</v>
      </c>
    </row>
    <row r="12" spans="1:8" x14ac:dyDescent="0.25">
      <c r="A12" t="s">
        <v>769</v>
      </c>
      <c r="B12" t="s">
        <v>771</v>
      </c>
      <c r="C12" t="s">
        <v>26</v>
      </c>
      <c r="D12" t="s">
        <v>19</v>
      </c>
      <c r="E12" t="s">
        <v>772</v>
      </c>
      <c r="F12">
        <v>10</v>
      </c>
      <c r="G12">
        <v>6.4</v>
      </c>
      <c r="H12">
        <v>128</v>
      </c>
    </row>
    <row r="13" spans="1:8" x14ac:dyDescent="0.25">
      <c r="A13" t="s">
        <v>785</v>
      </c>
      <c r="B13" t="s">
        <v>787</v>
      </c>
      <c r="C13" t="s">
        <v>26</v>
      </c>
      <c r="D13" t="s">
        <v>106</v>
      </c>
      <c r="E13" t="s">
        <v>376</v>
      </c>
      <c r="F13">
        <v>33</v>
      </c>
      <c r="G13">
        <v>5</v>
      </c>
      <c r="H13">
        <v>165</v>
      </c>
    </row>
    <row r="14" spans="1:8" x14ac:dyDescent="0.25">
      <c r="A14" t="s">
        <v>807</v>
      </c>
      <c r="B14" t="s">
        <v>809</v>
      </c>
      <c r="C14" t="s">
        <v>26</v>
      </c>
      <c r="D14" t="s">
        <v>106</v>
      </c>
      <c r="E14" t="s">
        <v>284</v>
      </c>
      <c r="F14">
        <v>22.5</v>
      </c>
      <c r="G14">
        <v>5.4</v>
      </c>
      <c r="H14">
        <v>162</v>
      </c>
    </row>
    <row r="15" spans="1:8" x14ac:dyDescent="0.25">
      <c r="A15" t="s">
        <v>788</v>
      </c>
      <c r="B15" t="s">
        <v>790</v>
      </c>
      <c r="C15" t="s">
        <v>26</v>
      </c>
      <c r="D15" t="s">
        <v>106</v>
      </c>
      <c r="E15" t="s">
        <v>791</v>
      </c>
      <c r="F15">
        <v>37.5</v>
      </c>
      <c r="G15">
        <v>3.5</v>
      </c>
      <c r="H15">
        <v>210</v>
      </c>
    </row>
    <row r="16" spans="1:8" x14ac:dyDescent="0.25">
      <c r="A16" t="s">
        <v>796</v>
      </c>
      <c r="B16" t="s">
        <v>797</v>
      </c>
      <c r="C16" t="s">
        <v>26</v>
      </c>
      <c r="D16" t="s">
        <v>19</v>
      </c>
      <c r="E16" t="s">
        <v>795</v>
      </c>
      <c r="F16">
        <v>15</v>
      </c>
      <c r="G16">
        <v>1.8</v>
      </c>
      <c r="H16">
        <v>144</v>
      </c>
    </row>
    <row r="17" spans="1:8" x14ac:dyDescent="0.25">
      <c r="A17" t="s">
        <v>792</v>
      </c>
      <c r="B17" t="s">
        <v>794</v>
      </c>
      <c r="C17" t="s">
        <v>26</v>
      </c>
      <c r="D17" t="s">
        <v>19</v>
      </c>
      <c r="E17" t="s">
        <v>795</v>
      </c>
      <c r="F17">
        <v>15</v>
      </c>
      <c r="G17">
        <v>2</v>
      </c>
      <c r="H17">
        <v>160</v>
      </c>
    </row>
    <row r="18" spans="1:8" x14ac:dyDescent="0.25">
      <c r="A18" t="s">
        <v>776</v>
      </c>
      <c r="B18" t="s">
        <v>778</v>
      </c>
      <c r="C18" t="s">
        <v>26</v>
      </c>
      <c r="D18" t="s">
        <v>19</v>
      </c>
      <c r="E18" t="s">
        <v>37</v>
      </c>
      <c r="F18">
        <v>22</v>
      </c>
      <c r="G18">
        <v>6.8</v>
      </c>
      <c r="H18">
        <v>149.6</v>
      </c>
    </row>
    <row r="19" spans="1:8" x14ac:dyDescent="0.25">
      <c r="A19" t="s">
        <v>773</v>
      </c>
      <c r="B19" t="s">
        <v>775</v>
      </c>
      <c r="C19" t="s">
        <v>26</v>
      </c>
      <c r="D19" t="s">
        <v>19</v>
      </c>
      <c r="E19" t="s">
        <v>898</v>
      </c>
      <c r="F19">
        <v>10</v>
      </c>
      <c r="G19">
        <v>4.95</v>
      </c>
      <c r="H19">
        <v>49.5</v>
      </c>
    </row>
    <row r="20" spans="1:8" x14ac:dyDescent="0.25">
      <c r="A20" t="s">
        <v>813</v>
      </c>
      <c r="B20" t="s">
        <v>815</v>
      </c>
      <c r="C20" t="s">
        <v>26</v>
      </c>
      <c r="D20" t="s">
        <v>19</v>
      </c>
      <c r="E20" t="s">
        <v>151</v>
      </c>
      <c r="F20">
        <v>24</v>
      </c>
      <c r="G20">
        <v>2.2000000000000002</v>
      </c>
      <c r="H20">
        <v>52.8</v>
      </c>
    </row>
    <row r="21" spans="1:8" x14ac:dyDescent="0.25">
      <c r="A21" t="s">
        <v>804</v>
      </c>
      <c r="B21" t="s">
        <v>806</v>
      </c>
      <c r="C21" t="s">
        <v>26</v>
      </c>
      <c r="D21" t="s">
        <v>19</v>
      </c>
      <c r="E21" t="s">
        <v>160</v>
      </c>
      <c r="F21">
        <v>18</v>
      </c>
      <c r="G21">
        <v>3.6</v>
      </c>
      <c r="H21">
        <v>86.4</v>
      </c>
    </row>
    <row r="22" spans="1:8" x14ac:dyDescent="0.25">
      <c r="A22" t="s">
        <v>801</v>
      </c>
      <c r="B22" t="s">
        <v>803</v>
      </c>
      <c r="C22" t="s">
        <v>26</v>
      </c>
      <c r="D22" t="s">
        <v>19</v>
      </c>
      <c r="E22" t="s">
        <v>284</v>
      </c>
      <c r="F22">
        <v>22.5</v>
      </c>
      <c r="G22">
        <v>2.35</v>
      </c>
      <c r="H22">
        <v>70.5</v>
      </c>
    </row>
    <row r="23" spans="1:8" x14ac:dyDescent="0.25">
      <c r="A23" t="s">
        <v>798</v>
      </c>
      <c r="B23" t="s">
        <v>800</v>
      </c>
      <c r="C23" t="s">
        <v>26</v>
      </c>
      <c r="D23" t="s">
        <v>19</v>
      </c>
      <c r="E23" t="s">
        <v>160</v>
      </c>
      <c r="F23">
        <v>24</v>
      </c>
      <c r="G23">
        <v>3.7</v>
      </c>
      <c r="H23">
        <v>88.8</v>
      </c>
    </row>
    <row r="24" spans="1:8" x14ac:dyDescent="0.25">
      <c r="A24" t="s">
        <v>228</v>
      </c>
      <c r="B24" t="s">
        <v>230</v>
      </c>
      <c r="C24" t="s">
        <v>26</v>
      </c>
      <c r="D24" t="s">
        <v>19</v>
      </c>
      <c r="E24" t="s">
        <v>17</v>
      </c>
      <c r="F24">
        <v>27</v>
      </c>
      <c r="G24">
        <v>3.7</v>
      </c>
      <c r="H24">
        <v>111</v>
      </c>
    </row>
    <row r="25" spans="1:8" x14ac:dyDescent="0.25">
      <c r="A25" t="s">
        <v>231</v>
      </c>
      <c r="B25" t="s">
        <v>233</v>
      </c>
      <c r="C25" t="s">
        <v>18</v>
      </c>
      <c r="D25" t="s">
        <v>19</v>
      </c>
      <c r="E25" t="s">
        <v>17</v>
      </c>
      <c r="F25">
        <v>26.5</v>
      </c>
      <c r="G25">
        <v>3.7</v>
      </c>
      <c r="H25">
        <v>111</v>
      </c>
    </row>
    <row r="26" spans="1:8" x14ac:dyDescent="0.25">
      <c r="A26" t="s">
        <v>234</v>
      </c>
      <c r="B26" t="s">
        <v>235</v>
      </c>
      <c r="C26" t="s">
        <v>26</v>
      </c>
      <c r="D26" t="s">
        <v>19</v>
      </c>
      <c r="E26" t="s">
        <v>17</v>
      </c>
      <c r="F26">
        <v>27</v>
      </c>
      <c r="G26">
        <v>3.7</v>
      </c>
      <c r="H26">
        <v>111</v>
      </c>
    </row>
    <row r="27" spans="1:8" x14ac:dyDescent="0.25">
      <c r="A27" t="s">
        <v>252</v>
      </c>
      <c r="B27" t="s">
        <v>254</v>
      </c>
      <c r="C27" t="s">
        <v>26</v>
      </c>
      <c r="D27" t="s">
        <v>19</v>
      </c>
      <c r="E27" t="s">
        <v>160</v>
      </c>
      <c r="F27">
        <v>18</v>
      </c>
      <c r="G27">
        <v>3.9</v>
      </c>
      <c r="H27">
        <v>93.6</v>
      </c>
    </row>
    <row r="28" spans="1:8" x14ac:dyDescent="0.25">
      <c r="A28" t="s">
        <v>255</v>
      </c>
      <c r="B28" t="s">
        <v>257</v>
      </c>
      <c r="C28" t="s">
        <v>26</v>
      </c>
      <c r="D28" t="s">
        <v>19</v>
      </c>
      <c r="E28" t="s">
        <v>160</v>
      </c>
      <c r="F28">
        <v>18</v>
      </c>
      <c r="G28">
        <v>3.9</v>
      </c>
      <c r="H28">
        <v>93.6</v>
      </c>
    </row>
    <row r="29" spans="1:8" x14ac:dyDescent="0.25">
      <c r="A29" t="s">
        <v>278</v>
      </c>
      <c r="B29" t="s">
        <v>280</v>
      </c>
      <c r="C29" t="s">
        <v>18</v>
      </c>
      <c r="D29" t="s">
        <v>19</v>
      </c>
      <c r="E29" t="s">
        <v>908</v>
      </c>
      <c r="F29">
        <v>26.25</v>
      </c>
      <c r="G29">
        <v>2.6</v>
      </c>
      <c r="H29">
        <v>78</v>
      </c>
    </row>
    <row r="30" spans="1:8" x14ac:dyDescent="0.25">
      <c r="A30" t="s">
        <v>258</v>
      </c>
      <c r="B30" t="s">
        <v>260</v>
      </c>
      <c r="C30" t="s">
        <v>26</v>
      </c>
      <c r="D30" t="s">
        <v>19</v>
      </c>
      <c r="E30" t="s">
        <v>17</v>
      </c>
      <c r="F30">
        <v>26</v>
      </c>
      <c r="G30">
        <v>3.2</v>
      </c>
      <c r="H30">
        <v>96</v>
      </c>
    </row>
    <row r="31" spans="1:8" x14ac:dyDescent="0.25">
      <c r="A31" t="s">
        <v>267</v>
      </c>
      <c r="B31" t="s">
        <v>269</v>
      </c>
      <c r="C31" t="s">
        <v>61</v>
      </c>
      <c r="D31" t="s">
        <v>19</v>
      </c>
      <c r="E31" t="s">
        <v>270</v>
      </c>
      <c r="F31">
        <v>30</v>
      </c>
      <c r="G31">
        <v>4.9000000000000004</v>
      </c>
      <c r="H31">
        <v>147</v>
      </c>
    </row>
    <row r="32" spans="1:8" x14ac:dyDescent="0.25">
      <c r="A32" t="s">
        <v>309</v>
      </c>
      <c r="B32" t="s">
        <v>311</v>
      </c>
      <c r="C32" t="s">
        <v>312</v>
      </c>
      <c r="D32" t="s">
        <v>106</v>
      </c>
      <c r="E32" t="s">
        <v>177</v>
      </c>
      <c r="F32">
        <v>40</v>
      </c>
      <c r="G32">
        <v>2.35</v>
      </c>
      <c r="H32">
        <v>94</v>
      </c>
    </row>
    <row r="33" spans="1:8" x14ac:dyDescent="0.25">
      <c r="A33" t="s">
        <v>313</v>
      </c>
      <c r="B33" t="s">
        <v>314</v>
      </c>
      <c r="C33" t="s">
        <v>312</v>
      </c>
      <c r="D33" t="s">
        <v>106</v>
      </c>
      <c r="E33" t="s">
        <v>177</v>
      </c>
      <c r="F33">
        <v>40</v>
      </c>
      <c r="G33">
        <v>2.7</v>
      </c>
      <c r="H33">
        <v>108</v>
      </c>
    </row>
    <row r="34" spans="1:8" x14ac:dyDescent="0.25">
      <c r="A34" t="s">
        <v>345</v>
      </c>
      <c r="B34" t="s">
        <v>346</v>
      </c>
      <c r="C34" t="s">
        <v>312</v>
      </c>
      <c r="D34" t="s">
        <v>106</v>
      </c>
      <c r="E34" t="s">
        <v>177</v>
      </c>
      <c r="F34">
        <v>40</v>
      </c>
      <c r="G34">
        <v>1.5</v>
      </c>
      <c r="H34">
        <v>60</v>
      </c>
    </row>
    <row r="35" spans="1:8" x14ac:dyDescent="0.25">
      <c r="A35" t="s">
        <v>347</v>
      </c>
      <c r="B35" t="s">
        <v>348</v>
      </c>
      <c r="C35" t="s">
        <v>312</v>
      </c>
      <c r="D35" t="s">
        <v>106</v>
      </c>
      <c r="E35" t="s">
        <v>177</v>
      </c>
      <c r="F35">
        <v>40</v>
      </c>
      <c r="G35">
        <v>1.55</v>
      </c>
      <c r="H35">
        <v>62</v>
      </c>
    </row>
    <row r="36" spans="1:8" x14ac:dyDescent="0.25">
      <c r="A36" t="s">
        <v>180</v>
      </c>
      <c r="B36" t="s">
        <v>182</v>
      </c>
      <c r="C36" t="s">
        <v>18</v>
      </c>
      <c r="D36" t="s">
        <v>106</v>
      </c>
      <c r="E36" t="s">
        <v>177</v>
      </c>
      <c r="F36">
        <v>40</v>
      </c>
      <c r="G36">
        <v>3</v>
      </c>
      <c r="H36">
        <v>120</v>
      </c>
    </row>
    <row r="37" spans="1:8" x14ac:dyDescent="0.25">
      <c r="A37" t="s">
        <v>183</v>
      </c>
      <c r="B37" t="s">
        <v>184</v>
      </c>
      <c r="C37" t="s">
        <v>18</v>
      </c>
      <c r="D37" t="s">
        <v>106</v>
      </c>
      <c r="E37" t="s">
        <v>177</v>
      </c>
      <c r="F37">
        <v>40</v>
      </c>
      <c r="G37">
        <v>3.1</v>
      </c>
      <c r="H37">
        <v>124</v>
      </c>
    </row>
    <row r="38" spans="1:8" x14ac:dyDescent="0.25">
      <c r="A38" t="s">
        <v>185</v>
      </c>
      <c r="B38" t="s">
        <v>186</v>
      </c>
      <c r="C38" t="s">
        <v>18</v>
      </c>
      <c r="D38" t="s">
        <v>106</v>
      </c>
      <c r="E38" t="s">
        <v>177</v>
      </c>
      <c r="F38">
        <v>40</v>
      </c>
      <c r="G38">
        <v>3.3</v>
      </c>
      <c r="H38">
        <v>132</v>
      </c>
    </row>
    <row r="39" spans="1:8" x14ac:dyDescent="0.25">
      <c r="A39" t="s">
        <v>187</v>
      </c>
      <c r="B39" t="s">
        <v>188</v>
      </c>
      <c r="C39" t="s">
        <v>18</v>
      </c>
      <c r="D39" t="s">
        <v>106</v>
      </c>
      <c r="E39" t="s">
        <v>177</v>
      </c>
      <c r="F39">
        <v>40</v>
      </c>
      <c r="G39">
        <v>3.8</v>
      </c>
      <c r="H39">
        <v>152</v>
      </c>
    </row>
    <row r="40" spans="1:8" x14ac:dyDescent="0.25">
      <c r="A40" t="s">
        <v>189</v>
      </c>
      <c r="B40" t="s">
        <v>190</v>
      </c>
      <c r="C40" t="s">
        <v>18</v>
      </c>
      <c r="D40" t="s">
        <v>106</v>
      </c>
      <c r="E40" t="s">
        <v>177</v>
      </c>
      <c r="F40">
        <v>40</v>
      </c>
      <c r="G40">
        <v>3.95</v>
      </c>
      <c r="H40">
        <v>158</v>
      </c>
    </row>
    <row r="41" spans="1:8" x14ac:dyDescent="0.25">
      <c r="A41" t="s">
        <v>174</v>
      </c>
      <c r="B41" t="s">
        <v>176</v>
      </c>
      <c r="C41" t="s">
        <v>26</v>
      </c>
      <c r="D41" t="s">
        <v>19</v>
      </c>
      <c r="E41" t="s">
        <v>177</v>
      </c>
      <c r="F41">
        <v>40</v>
      </c>
      <c r="G41">
        <v>3</v>
      </c>
      <c r="H41">
        <v>120</v>
      </c>
    </row>
    <row r="42" spans="1:8" x14ac:dyDescent="0.25">
      <c r="A42" t="s">
        <v>178</v>
      </c>
      <c r="B42" t="s">
        <v>179</v>
      </c>
      <c r="C42" t="s">
        <v>26</v>
      </c>
      <c r="D42" t="s">
        <v>19</v>
      </c>
      <c r="E42" t="s">
        <v>177</v>
      </c>
      <c r="F42">
        <v>40</v>
      </c>
      <c r="G42">
        <v>3.2</v>
      </c>
      <c r="H42">
        <v>128</v>
      </c>
    </row>
    <row r="43" spans="1:8" x14ac:dyDescent="0.25">
      <c r="A43" t="s">
        <v>466</v>
      </c>
      <c r="B43" t="s">
        <v>468</v>
      </c>
      <c r="C43" t="s">
        <v>398</v>
      </c>
      <c r="D43" t="s">
        <v>19</v>
      </c>
      <c r="E43" t="s">
        <v>17</v>
      </c>
      <c r="F43">
        <v>26.5</v>
      </c>
      <c r="G43">
        <v>7.5</v>
      </c>
      <c r="H43">
        <v>225</v>
      </c>
    </row>
    <row r="44" spans="1:8" x14ac:dyDescent="0.25">
      <c r="A44" t="s">
        <v>460</v>
      </c>
      <c r="B44" t="s">
        <v>462</v>
      </c>
      <c r="C44" t="s">
        <v>26</v>
      </c>
      <c r="D44" t="s">
        <v>19</v>
      </c>
      <c r="E44" t="s">
        <v>17</v>
      </c>
      <c r="F44">
        <v>26.5</v>
      </c>
      <c r="G44">
        <v>7</v>
      </c>
      <c r="H44">
        <v>210</v>
      </c>
    </row>
    <row r="45" spans="1:8" x14ac:dyDescent="0.25">
      <c r="A45" t="s">
        <v>463</v>
      </c>
      <c r="B45" t="s">
        <v>465</v>
      </c>
      <c r="C45" t="s">
        <v>26</v>
      </c>
      <c r="D45" t="s">
        <v>19</v>
      </c>
      <c r="E45" t="s">
        <v>43</v>
      </c>
      <c r="F45">
        <v>30</v>
      </c>
      <c r="G45">
        <v>7.5</v>
      </c>
      <c r="H45">
        <v>225</v>
      </c>
    </row>
    <row r="46" spans="1:8" x14ac:dyDescent="0.25">
      <c r="A46" t="s">
        <v>500</v>
      </c>
      <c r="B46" t="s">
        <v>502</v>
      </c>
      <c r="C46" t="s">
        <v>398</v>
      </c>
      <c r="D46" t="s">
        <v>19</v>
      </c>
      <c r="E46" t="s">
        <v>17</v>
      </c>
      <c r="F46">
        <v>26.25</v>
      </c>
      <c r="G46">
        <v>3.9</v>
      </c>
      <c r="H46">
        <v>117</v>
      </c>
    </row>
    <row r="47" spans="1:8" x14ac:dyDescent="0.25">
      <c r="A47" t="s">
        <v>478</v>
      </c>
      <c r="B47" t="s">
        <v>480</v>
      </c>
      <c r="C47" t="s">
        <v>26</v>
      </c>
      <c r="D47" t="s">
        <v>19</v>
      </c>
      <c r="E47" t="s">
        <v>376</v>
      </c>
      <c r="F47">
        <v>33</v>
      </c>
      <c r="G47">
        <v>3.8</v>
      </c>
      <c r="H47">
        <v>125.4</v>
      </c>
    </row>
    <row r="48" spans="1:8" x14ac:dyDescent="0.25">
      <c r="A48" t="s">
        <v>481</v>
      </c>
      <c r="B48" t="s">
        <v>483</v>
      </c>
      <c r="C48" t="s">
        <v>26</v>
      </c>
      <c r="D48" t="s">
        <v>19</v>
      </c>
      <c r="E48" t="s">
        <v>484</v>
      </c>
      <c r="F48">
        <v>50</v>
      </c>
      <c r="G48">
        <v>3.8</v>
      </c>
      <c r="H48">
        <v>190</v>
      </c>
    </row>
    <row r="49" spans="1:8" x14ac:dyDescent="0.25">
      <c r="A49" t="s">
        <v>485</v>
      </c>
      <c r="B49" t="s">
        <v>486</v>
      </c>
      <c r="C49" t="s">
        <v>26</v>
      </c>
      <c r="D49" t="s">
        <v>19</v>
      </c>
      <c r="E49" t="s">
        <v>487</v>
      </c>
      <c r="F49">
        <v>35</v>
      </c>
      <c r="G49">
        <v>4</v>
      </c>
      <c r="H49">
        <v>160</v>
      </c>
    </row>
    <row r="50" spans="1:8" x14ac:dyDescent="0.25">
      <c r="A50" t="s">
        <v>548</v>
      </c>
      <c r="B50" t="s">
        <v>550</v>
      </c>
      <c r="C50" t="s">
        <v>422</v>
      </c>
      <c r="D50" t="s">
        <v>19</v>
      </c>
      <c r="E50" t="s">
        <v>551</v>
      </c>
      <c r="F50">
        <v>25</v>
      </c>
      <c r="G50">
        <v>3.5</v>
      </c>
      <c r="H50">
        <v>87.5</v>
      </c>
    </row>
    <row r="51" spans="1:8" x14ac:dyDescent="0.25">
      <c r="A51" t="s">
        <v>641</v>
      </c>
      <c r="B51" t="s">
        <v>643</v>
      </c>
      <c r="C51" t="s">
        <v>322</v>
      </c>
      <c r="D51" t="s">
        <v>106</v>
      </c>
      <c r="E51" t="s">
        <v>177</v>
      </c>
      <c r="F51">
        <v>40</v>
      </c>
      <c r="G51">
        <v>2.5</v>
      </c>
      <c r="H51">
        <v>100</v>
      </c>
    </row>
    <row r="52" spans="1:8" x14ac:dyDescent="0.25">
      <c r="A52" t="s">
        <v>644</v>
      </c>
      <c r="B52" t="s">
        <v>645</v>
      </c>
      <c r="C52" t="s">
        <v>322</v>
      </c>
      <c r="D52" t="s">
        <v>106</v>
      </c>
      <c r="E52" t="s">
        <v>177</v>
      </c>
      <c r="F52">
        <v>40</v>
      </c>
      <c r="G52">
        <v>2.6</v>
      </c>
      <c r="H52">
        <v>104</v>
      </c>
    </row>
    <row r="57" spans="1:8" x14ac:dyDescent="0.25">
      <c r="A57" t="s">
        <v>937</v>
      </c>
    </row>
    <row r="58" spans="1:8" x14ac:dyDescent="0.25">
      <c r="A58" t="s">
        <v>938</v>
      </c>
    </row>
    <row r="59" spans="1:8" x14ac:dyDescent="0.25">
      <c r="A59" t="s">
        <v>939</v>
      </c>
    </row>
    <row r="60" spans="1:8" x14ac:dyDescent="0.25">
      <c r="A60" t="s">
        <v>940</v>
      </c>
    </row>
    <row r="61" spans="1:8" x14ac:dyDescent="0.25">
      <c r="A61" t="s">
        <v>941</v>
      </c>
    </row>
    <row r="62" spans="1:8" x14ac:dyDescent="0.25">
      <c r="A62" t="s">
        <v>942</v>
      </c>
    </row>
    <row r="63" spans="1:8" x14ac:dyDescent="0.25">
      <c r="A63" t="s">
        <v>943</v>
      </c>
    </row>
    <row r="64" spans="1:8" x14ac:dyDescent="0.25">
      <c r="A64" t="s">
        <v>944</v>
      </c>
    </row>
    <row r="65" spans="1:1" x14ac:dyDescent="0.25">
      <c r="A65" t="s">
        <v>945</v>
      </c>
    </row>
    <row r="66" spans="1:1" x14ac:dyDescent="0.25">
      <c r="A66" t="s">
        <v>946</v>
      </c>
    </row>
    <row r="67" spans="1:1" x14ac:dyDescent="0.25">
      <c r="A67" t="s">
        <v>947</v>
      </c>
    </row>
    <row r="68" spans="1:1" x14ac:dyDescent="0.25">
      <c r="A68" t="s">
        <v>948</v>
      </c>
    </row>
    <row r="69" spans="1:1" x14ac:dyDescent="0.25">
      <c r="A69" t="s">
        <v>949</v>
      </c>
    </row>
    <row r="70" spans="1:1" x14ac:dyDescent="0.25">
      <c r="A70" t="s">
        <v>950</v>
      </c>
    </row>
    <row r="71" spans="1:1" x14ac:dyDescent="0.25">
      <c r="A71" t="s">
        <v>951</v>
      </c>
    </row>
    <row r="72" spans="1:1" x14ac:dyDescent="0.25">
      <c r="A72" t="s">
        <v>952</v>
      </c>
    </row>
    <row r="73" spans="1:1" x14ac:dyDescent="0.25">
      <c r="A73" t="s">
        <v>953</v>
      </c>
    </row>
    <row r="89" spans="1:8" x14ac:dyDescent="0.25">
      <c r="A89" t="s">
        <v>646</v>
      </c>
      <c r="B89" t="s">
        <v>647</v>
      </c>
      <c r="C89" t="s">
        <v>322</v>
      </c>
      <c r="D89" t="s">
        <v>106</v>
      </c>
      <c r="E89" t="s">
        <v>177</v>
      </c>
      <c r="F89">
        <v>40</v>
      </c>
      <c r="G89">
        <v>2.6</v>
      </c>
      <c r="H89">
        <v>104</v>
      </c>
    </row>
    <row r="90" spans="1:8" x14ac:dyDescent="0.25">
      <c r="A90" t="s">
        <v>569</v>
      </c>
      <c r="B90" t="s">
        <v>571</v>
      </c>
      <c r="C90" t="s">
        <v>26</v>
      </c>
      <c r="D90" t="s">
        <v>19</v>
      </c>
      <c r="E90" t="s">
        <v>249</v>
      </c>
      <c r="F90">
        <v>15</v>
      </c>
      <c r="G90">
        <v>2.65</v>
      </c>
      <c r="H90">
        <v>79.5</v>
      </c>
    </row>
    <row r="91" spans="1:8" x14ac:dyDescent="0.25">
      <c r="A91" t="s">
        <v>572</v>
      </c>
      <c r="B91" t="s">
        <v>573</v>
      </c>
      <c r="C91" t="s">
        <v>26</v>
      </c>
      <c r="D91" t="s">
        <v>19</v>
      </c>
      <c r="E91" t="s">
        <v>249</v>
      </c>
      <c r="F91">
        <v>15</v>
      </c>
      <c r="G91">
        <v>2.65</v>
      </c>
      <c r="H91">
        <v>79.5</v>
      </c>
    </row>
    <row r="92" spans="1:8" x14ac:dyDescent="0.25">
      <c r="A92" t="s">
        <v>753</v>
      </c>
      <c r="B92" t="s">
        <v>755</v>
      </c>
      <c r="C92" t="s">
        <v>26</v>
      </c>
      <c r="D92" t="s">
        <v>19</v>
      </c>
      <c r="E92" t="s">
        <v>17</v>
      </c>
      <c r="F92">
        <v>27</v>
      </c>
      <c r="G92">
        <v>2.1</v>
      </c>
      <c r="H92">
        <v>63</v>
      </c>
    </row>
    <row r="93" spans="1:8" x14ac:dyDescent="0.25">
      <c r="A93" t="s">
        <v>405</v>
      </c>
      <c r="B93" t="s">
        <v>407</v>
      </c>
      <c r="C93" t="s">
        <v>26</v>
      </c>
      <c r="D93" t="s">
        <v>106</v>
      </c>
      <c r="E93" t="s">
        <v>911</v>
      </c>
      <c r="F93">
        <v>30</v>
      </c>
      <c r="G93">
        <v>3.5</v>
      </c>
      <c r="H93">
        <v>105</v>
      </c>
    </row>
    <row r="94" spans="1:8" x14ac:dyDescent="0.25">
      <c r="A94" t="s">
        <v>408</v>
      </c>
      <c r="B94" t="s">
        <v>409</v>
      </c>
      <c r="C94" t="s">
        <v>26</v>
      </c>
      <c r="D94" t="s">
        <v>106</v>
      </c>
      <c r="E94" t="s">
        <v>376</v>
      </c>
      <c r="F94">
        <v>33</v>
      </c>
      <c r="G94">
        <v>3.6</v>
      </c>
      <c r="H94">
        <v>118.8</v>
      </c>
    </row>
    <row r="95" spans="1:8" x14ac:dyDescent="0.25">
      <c r="A95" t="s">
        <v>402</v>
      </c>
      <c r="B95" t="s">
        <v>404</v>
      </c>
      <c r="C95" t="s">
        <v>26</v>
      </c>
      <c r="D95" t="s">
        <v>106</v>
      </c>
      <c r="E95" t="s">
        <v>372</v>
      </c>
      <c r="F95">
        <v>30</v>
      </c>
      <c r="G95">
        <v>3.9</v>
      </c>
      <c r="H95">
        <v>117</v>
      </c>
    </row>
    <row r="96" spans="1:8" x14ac:dyDescent="0.25">
      <c r="A96" t="s">
        <v>399</v>
      </c>
      <c r="B96" t="s">
        <v>401</v>
      </c>
      <c r="C96" t="s">
        <v>398</v>
      </c>
      <c r="D96" t="s">
        <v>19</v>
      </c>
      <c r="E96" t="s">
        <v>376</v>
      </c>
      <c r="F96">
        <v>33</v>
      </c>
      <c r="G96">
        <v>3.3</v>
      </c>
      <c r="H96">
        <v>108.9</v>
      </c>
    </row>
    <row r="154" spans="1:8" x14ac:dyDescent="0.25">
      <c r="A154" t="s">
        <v>919</v>
      </c>
      <c r="C154" t="s">
        <v>920</v>
      </c>
      <c r="D154" t="s">
        <v>921</v>
      </c>
      <c r="G154" t="s">
        <v>922</v>
      </c>
      <c r="H154" t="s">
        <v>954</v>
      </c>
    </row>
    <row r="155" spans="1:8" x14ac:dyDescent="0.25">
      <c r="A155" t="s">
        <v>924</v>
      </c>
      <c r="C155" t="s">
        <v>925</v>
      </c>
      <c r="D155" t="s">
        <v>926</v>
      </c>
      <c r="G155" t="s">
        <v>927</v>
      </c>
      <c r="H155" t="s">
        <v>928</v>
      </c>
    </row>
    <row r="157" spans="1:8" x14ac:dyDescent="0.25">
      <c r="A157" t="s">
        <v>929</v>
      </c>
      <c r="B157" t="s">
        <v>930</v>
      </c>
      <c r="C157" t="s">
        <v>931</v>
      </c>
      <c r="D157" t="s">
        <v>932</v>
      </c>
      <c r="E157" t="s">
        <v>933</v>
      </c>
      <c r="F157" t="s">
        <v>934</v>
      </c>
      <c r="G157" t="s">
        <v>935</v>
      </c>
      <c r="H157" t="s">
        <v>936</v>
      </c>
    </row>
    <row r="159" spans="1:8" x14ac:dyDescent="0.25">
      <c r="A159" t="s">
        <v>103</v>
      </c>
      <c r="B159" t="s">
        <v>105</v>
      </c>
      <c r="C159" t="s">
        <v>26</v>
      </c>
      <c r="D159" t="s">
        <v>106</v>
      </c>
      <c r="E159" t="s">
        <v>901</v>
      </c>
      <c r="F159">
        <v>24</v>
      </c>
      <c r="G159">
        <v>10.9</v>
      </c>
      <c r="H159">
        <v>261.60000000000002</v>
      </c>
    </row>
    <row r="160" spans="1:8" x14ac:dyDescent="0.25">
      <c r="A160" t="s">
        <v>107</v>
      </c>
      <c r="B160" t="s">
        <v>108</v>
      </c>
      <c r="C160" t="s">
        <v>26</v>
      </c>
      <c r="D160" t="s">
        <v>106</v>
      </c>
      <c r="E160" t="s">
        <v>25</v>
      </c>
      <c r="F160">
        <v>24</v>
      </c>
      <c r="G160">
        <v>10.5</v>
      </c>
      <c r="H160">
        <v>252</v>
      </c>
    </row>
    <row r="161" spans="1:8" x14ac:dyDescent="0.25">
      <c r="A161" t="s">
        <v>109</v>
      </c>
      <c r="B161" t="s">
        <v>110</v>
      </c>
      <c r="C161" t="s">
        <v>26</v>
      </c>
      <c r="D161" t="s">
        <v>106</v>
      </c>
      <c r="E161" t="s">
        <v>25</v>
      </c>
      <c r="F161">
        <v>24</v>
      </c>
      <c r="G161">
        <v>8.5</v>
      </c>
      <c r="H161">
        <v>204</v>
      </c>
    </row>
    <row r="162" spans="1:8" x14ac:dyDescent="0.25">
      <c r="A162" t="s">
        <v>111</v>
      </c>
      <c r="B162" t="s">
        <v>112</v>
      </c>
      <c r="C162" t="s">
        <v>26</v>
      </c>
      <c r="D162" t="s">
        <v>106</v>
      </c>
      <c r="E162" t="s">
        <v>902</v>
      </c>
      <c r="F162">
        <v>24</v>
      </c>
      <c r="G162">
        <v>7.5</v>
      </c>
      <c r="H162">
        <v>180</v>
      </c>
    </row>
    <row r="163" spans="1:8" x14ac:dyDescent="0.25">
      <c r="A163" t="s">
        <v>445</v>
      </c>
      <c r="B163" t="s">
        <v>447</v>
      </c>
      <c r="C163" t="s">
        <v>26</v>
      </c>
      <c r="D163" t="s">
        <v>19</v>
      </c>
      <c r="E163" t="s">
        <v>17</v>
      </c>
      <c r="F163">
        <v>26.5</v>
      </c>
      <c r="G163">
        <v>2.8</v>
      </c>
      <c r="H163">
        <v>84</v>
      </c>
    </row>
    <row r="164" spans="1:8" x14ac:dyDescent="0.25">
      <c r="A164" t="s">
        <v>621</v>
      </c>
      <c r="B164" t="s">
        <v>623</v>
      </c>
      <c r="C164" t="s">
        <v>26</v>
      </c>
      <c r="D164" t="s">
        <v>106</v>
      </c>
      <c r="E164" t="s">
        <v>17</v>
      </c>
      <c r="F164">
        <v>27</v>
      </c>
      <c r="G164">
        <v>2.95</v>
      </c>
      <c r="H164">
        <v>88.5</v>
      </c>
    </row>
    <row r="165" spans="1:8" x14ac:dyDescent="0.25">
      <c r="A165" t="s">
        <v>728</v>
      </c>
      <c r="B165" t="s">
        <v>730</v>
      </c>
      <c r="C165" t="s">
        <v>26</v>
      </c>
      <c r="D165" t="s">
        <v>19</v>
      </c>
      <c r="E165" t="s">
        <v>17</v>
      </c>
      <c r="F165">
        <v>30</v>
      </c>
      <c r="G165">
        <v>4.2</v>
      </c>
      <c r="H165">
        <v>126</v>
      </c>
    </row>
    <row r="166" spans="1:8" x14ac:dyDescent="0.25">
      <c r="A166" t="s">
        <v>526</v>
      </c>
      <c r="B166" t="s">
        <v>527</v>
      </c>
      <c r="C166" t="s">
        <v>398</v>
      </c>
      <c r="D166" t="s">
        <v>19</v>
      </c>
      <c r="E166" t="s">
        <v>372</v>
      </c>
      <c r="F166">
        <v>30</v>
      </c>
      <c r="G166">
        <v>7.7</v>
      </c>
      <c r="H166">
        <v>231</v>
      </c>
    </row>
    <row r="167" spans="1:8" x14ac:dyDescent="0.25">
      <c r="A167" t="s">
        <v>528</v>
      </c>
      <c r="B167" t="s">
        <v>529</v>
      </c>
      <c r="C167" t="s">
        <v>398</v>
      </c>
      <c r="D167" t="s">
        <v>19</v>
      </c>
      <c r="E167" t="s">
        <v>376</v>
      </c>
      <c r="F167">
        <v>33</v>
      </c>
      <c r="G167">
        <v>8</v>
      </c>
      <c r="H167">
        <v>264</v>
      </c>
    </row>
    <row r="168" spans="1:8" x14ac:dyDescent="0.25">
      <c r="A168" t="s">
        <v>520</v>
      </c>
      <c r="B168" t="s">
        <v>521</v>
      </c>
      <c r="C168" t="s">
        <v>398</v>
      </c>
      <c r="D168" t="s">
        <v>19</v>
      </c>
      <c r="E168" t="s">
        <v>376</v>
      </c>
      <c r="F168">
        <v>33</v>
      </c>
      <c r="G168">
        <v>9.8000000000000007</v>
      </c>
      <c r="H168">
        <v>323.39999999999998</v>
      </c>
    </row>
    <row r="169" spans="1:8" x14ac:dyDescent="0.25">
      <c r="A169" t="s">
        <v>522</v>
      </c>
      <c r="B169" t="s">
        <v>523</v>
      </c>
      <c r="C169" t="s">
        <v>398</v>
      </c>
      <c r="D169" t="s">
        <v>19</v>
      </c>
      <c r="E169" t="s">
        <v>376</v>
      </c>
      <c r="F169">
        <v>33</v>
      </c>
      <c r="G169">
        <v>10.5</v>
      </c>
      <c r="H169">
        <v>346.5</v>
      </c>
    </row>
    <row r="170" spans="1:8" x14ac:dyDescent="0.25">
      <c r="A170" t="s">
        <v>524</v>
      </c>
      <c r="B170" t="s">
        <v>525</v>
      </c>
      <c r="C170" t="s">
        <v>398</v>
      </c>
      <c r="D170" t="s">
        <v>19</v>
      </c>
      <c r="E170" t="s">
        <v>376</v>
      </c>
      <c r="F170">
        <v>33</v>
      </c>
      <c r="G170">
        <v>12.5</v>
      </c>
      <c r="H170">
        <v>412.5</v>
      </c>
    </row>
    <row r="171" spans="1:8" x14ac:dyDescent="0.25">
      <c r="A171" t="s">
        <v>747</v>
      </c>
      <c r="B171" t="s">
        <v>749</v>
      </c>
      <c r="C171" t="s">
        <v>26</v>
      </c>
      <c r="D171" t="s">
        <v>19</v>
      </c>
      <c r="E171" t="s">
        <v>17</v>
      </c>
      <c r="F171">
        <v>26.4</v>
      </c>
      <c r="G171">
        <v>2.2999999999999998</v>
      </c>
      <c r="H171">
        <v>69</v>
      </c>
    </row>
    <row r="172" spans="1:8" x14ac:dyDescent="0.25">
      <c r="A172" t="s">
        <v>717</v>
      </c>
      <c r="B172" t="s">
        <v>719</v>
      </c>
      <c r="C172" t="s">
        <v>26</v>
      </c>
      <c r="D172" t="s">
        <v>19</v>
      </c>
      <c r="E172" t="s">
        <v>17</v>
      </c>
      <c r="F172">
        <v>26.4</v>
      </c>
      <c r="G172">
        <v>3.2</v>
      </c>
      <c r="H172">
        <v>96</v>
      </c>
    </row>
    <row r="173" spans="1:8" x14ac:dyDescent="0.25">
      <c r="A173" t="s">
        <v>725</v>
      </c>
      <c r="B173" t="s">
        <v>727</v>
      </c>
      <c r="C173" t="s">
        <v>26</v>
      </c>
      <c r="D173" t="s">
        <v>19</v>
      </c>
      <c r="E173" t="s">
        <v>17</v>
      </c>
      <c r="F173">
        <v>26.4</v>
      </c>
      <c r="G173">
        <v>3.1</v>
      </c>
      <c r="H173">
        <v>93</v>
      </c>
    </row>
    <row r="174" spans="1:8" x14ac:dyDescent="0.25">
      <c r="A174" t="s">
        <v>583</v>
      </c>
      <c r="B174" t="s">
        <v>585</v>
      </c>
      <c r="C174" t="s">
        <v>26</v>
      </c>
      <c r="D174" t="s">
        <v>106</v>
      </c>
      <c r="E174" t="s">
        <v>372</v>
      </c>
      <c r="F174">
        <v>30</v>
      </c>
      <c r="G174">
        <v>3.6</v>
      </c>
      <c r="H174">
        <v>108</v>
      </c>
    </row>
    <row r="175" spans="1:8" x14ac:dyDescent="0.25">
      <c r="A175" t="s">
        <v>586</v>
      </c>
      <c r="B175" t="s">
        <v>588</v>
      </c>
      <c r="C175" t="s">
        <v>26</v>
      </c>
      <c r="D175" t="s">
        <v>106</v>
      </c>
      <c r="E175" t="s">
        <v>43</v>
      </c>
      <c r="F175">
        <v>30</v>
      </c>
      <c r="G175">
        <v>4.0999999999999996</v>
      </c>
      <c r="H175">
        <v>123</v>
      </c>
    </row>
    <row r="176" spans="1:8" x14ac:dyDescent="0.25">
      <c r="A176" t="s">
        <v>589</v>
      </c>
      <c r="B176" t="s">
        <v>591</v>
      </c>
      <c r="C176" t="s">
        <v>26</v>
      </c>
      <c r="D176" t="s">
        <v>106</v>
      </c>
      <c r="E176" t="s">
        <v>376</v>
      </c>
      <c r="F176">
        <v>33</v>
      </c>
      <c r="G176">
        <v>3.6</v>
      </c>
      <c r="H176">
        <v>118.8</v>
      </c>
    </row>
    <row r="177" spans="1:8" x14ac:dyDescent="0.25">
      <c r="A177" t="s">
        <v>87</v>
      </c>
      <c r="B177" t="s">
        <v>89</v>
      </c>
      <c r="C177" t="s">
        <v>61</v>
      </c>
      <c r="D177" t="s">
        <v>19</v>
      </c>
      <c r="E177" t="s">
        <v>90</v>
      </c>
      <c r="F177">
        <v>30</v>
      </c>
      <c r="G177">
        <v>4.0999999999999996</v>
      </c>
      <c r="H177">
        <v>123</v>
      </c>
    </row>
    <row r="178" spans="1:8" x14ac:dyDescent="0.25">
      <c r="A178" t="s">
        <v>92</v>
      </c>
      <c r="B178" t="s">
        <v>93</v>
      </c>
      <c r="C178" t="s">
        <v>61</v>
      </c>
      <c r="D178" t="s">
        <v>19</v>
      </c>
      <c r="E178" t="s">
        <v>90</v>
      </c>
      <c r="F178">
        <v>30</v>
      </c>
      <c r="G178">
        <v>4.8</v>
      </c>
      <c r="H178">
        <v>144</v>
      </c>
    </row>
    <row r="179" spans="1:8" x14ac:dyDescent="0.25">
      <c r="A179" t="s">
        <v>94</v>
      </c>
      <c r="B179" t="s">
        <v>95</v>
      </c>
      <c r="C179" t="s">
        <v>61</v>
      </c>
      <c r="D179" t="s">
        <v>19</v>
      </c>
      <c r="E179" t="s">
        <v>90</v>
      </c>
      <c r="F179">
        <v>30</v>
      </c>
      <c r="G179">
        <v>5.9</v>
      </c>
      <c r="H179">
        <v>177</v>
      </c>
    </row>
    <row r="180" spans="1:8" x14ac:dyDescent="0.25">
      <c r="A180" t="s">
        <v>96</v>
      </c>
      <c r="B180" t="s">
        <v>97</v>
      </c>
      <c r="C180" t="s">
        <v>61</v>
      </c>
      <c r="D180" t="s">
        <v>19</v>
      </c>
      <c r="E180" t="s">
        <v>90</v>
      </c>
      <c r="F180">
        <v>30</v>
      </c>
      <c r="G180">
        <v>6.2</v>
      </c>
      <c r="H180">
        <v>186</v>
      </c>
    </row>
    <row r="181" spans="1:8" x14ac:dyDescent="0.25">
      <c r="A181" t="s">
        <v>32</v>
      </c>
      <c r="B181" t="s">
        <v>33</v>
      </c>
      <c r="C181" t="s">
        <v>26</v>
      </c>
      <c r="D181" t="s">
        <v>19</v>
      </c>
      <c r="E181" t="s">
        <v>25</v>
      </c>
      <c r="F181">
        <v>24</v>
      </c>
      <c r="G181">
        <v>3.5</v>
      </c>
      <c r="H181">
        <v>84</v>
      </c>
    </row>
    <row r="182" spans="1:8" x14ac:dyDescent="0.25">
      <c r="A182" t="s">
        <v>29</v>
      </c>
      <c r="B182" t="s">
        <v>31</v>
      </c>
      <c r="C182" t="s">
        <v>26</v>
      </c>
      <c r="D182" t="s">
        <v>19</v>
      </c>
      <c r="E182" t="s">
        <v>25</v>
      </c>
      <c r="F182">
        <v>24</v>
      </c>
      <c r="G182">
        <v>3.6</v>
      </c>
      <c r="H182">
        <v>86.4</v>
      </c>
    </row>
    <row r="183" spans="1:8" x14ac:dyDescent="0.25">
      <c r="A183" t="s">
        <v>27</v>
      </c>
      <c r="B183" t="s">
        <v>28</v>
      </c>
      <c r="C183" t="s">
        <v>26</v>
      </c>
      <c r="D183" t="s">
        <v>19</v>
      </c>
      <c r="E183" t="s">
        <v>25</v>
      </c>
      <c r="F183">
        <v>24</v>
      </c>
      <c r="G183">
        <v>3.5</v>
      </c>
      <c r="H183">
        <v>84</v>
      </c>
    </row>
    <row r="184" spans="1:8" x14ac:dyDescent="0.25">
      <c r="A184" t="s">
        <v>22</v>
      </c>
      <c r="B184" t="s">
        <v>24</v>
      </c>
      <c r="C184" t="s">
        <v>26</v>
      </c>
      <c r="D184" t="s">
        <v>19</v>
      </c>
      <c r="E184" t="s">
        <v>25</v>
      </c>
      <c r="F184">
        <v>24</v>
      </c>
      <c r="G184">
        <v>3.6</v>
      </c>
      <c r="H184">
        <v>86.4</v>
      </c>
    </row>
    <row r="185" spans="1:8" x14ac:dyDescent="0.25">
      <c r="A185" t="s">
        <v>595</v>
      </c>
      <c r="B185" t="s">
        <v>597</v>
      </c>
      <c r="C185" t="s">
        <v>26</v>
      </c>
      <c r="D185" t="s">
        <v>19</v>
      </c>
      <c r="E185" t="s">
        <v>294</v>
      </c>
      <c r="F185">
        <v>30</v>
      </c>
      <c r="G185">
        <v>3</v>
      </c>
      <c r="H185">
        <v>90</v>
      </c>
    </row>
    <row r="186" spans="1:8" x14ac:dyDescent="0.25">
      <c r="A186" t="s">
        <v>601</v>
      </c>
      <c r="B186" t="s">
        <v>603</v>
      </c>
      <c r="C186" t="s">
        <v>18</v>
      </c>
      <c r="D186" t="s">
        <v>19</v>
      </c>
      <c r="E186" t="s">
        <v>177</v>
      </c>
      <c r="F186">
        <v>40</v>
      </c>
      <c r="G186">
        <v>2.4</v>
      </c>
      <c r="H186">
        <v>96</v>
      </c>
    </row>
    <row r="187" spans="1:8" x14ac:dyDescent="0.25">
      <c r="A187" t="s">
        <v>598</v>
      </c>
      <c r="B187" t="s">
        <v>600</v>
      </c>
      <c r="C187" t="s">
        <v>38</v>
      </c>
      <c r="D187" t="s">
        <v>19</v>
      </c>
      <c r="E187" t="s">
        <v>421</v>
      </c>
      <c r="F187">
        <v>25</v>
      </c>
      <c r="G187">
        <v>2.4</v>
      </c>
      <c r="H187">
        <v>60</v>
      </c>
    </row>
    <row r="188" spans="1:8" x14ac:dyDescent="0.25">
      <c r="A188" t="s">
        <v>705</v>
      </c>
      <c r="B188" t="s">
        <v>707</v>
      </c>
      <c r="C188" t="s">
        <v>709</v>
      </c>
      <c r="D188" t="s">
        <v>19</v>
      </c>
      <c r="E188" t="s">
        <v>708</v>
      </c>
      <c r="F188">
        <v>44</v>
      </c>
      <c r="G188">
        <v>2.2000000000000002</v>
      </c>
      <c r="H188">
        <v>96.8</v>
      </c>
    </row>
    <row r="189" spans="1:8" x14ac:dyDescent="0.25">
      <c r="A189" t="s">
        <v>713</v>
      </c>
      <c r="B189" t="s">
        <v>715</v>
      </c>
      <c r="C189" t="s">
        <v>422</v>
      </c>
      <c r="D189" t="s">
        <v>19</v>
      </c>
      <c r="E189" t="s">
        <v>894</v>
      </c>
      <c r="F189">
        <v>25</v>
      </c>
      <c r="G189">
        <v>1.45</v>
      </c>
      <c r="H189">
        <v>36.25</v>
      </c>
    </row>
    <row r="190" spans="1:8" x14ac:dyDescent="0.25">
      <c r="A190" t="s">
        <v>556</v>
      </c>
      <c r="B190" t="s">
        <v>558</v>
      </c>
      <c r="C190" t="s">
        <v>26</v>
      </c>
      <c r="D190" t="s">
        <v>19</v>
      </c>
      <c r="E190" t="s">
        <v>372</v>
      </c>
      <c r="F190">
        <v>30</v>
      </c>
      <c r="G190">
        <v>1.9</v>
      </c>
      <c r="H190">
        <v>57</v>
      </c>
    </row>
    <row r="191" spans="1:8" x14ac:dyDescent="0.25">
      <c r="A191" t="s">
        <v>559</v>
      </c>
      <c r="B191" t="s">
        <v>560</v>
      </c>
      <c r="C191" t="s">
        <v>26</v>
      </c>
      <c r="D191" t="s">
        <v>19</v>
      </c>
      <c r="E191" t="s">
        <v>372</v>
      </c>
      <c r="F191">
        <v>30</v>
      </c>
      <c r="G191">
        <v>1.8</v>
      </c>
      <c r="H191">
        <v>54</v>
      </c>
    </row>
    <row r="192" spans="1:8" x14ac:dyDescent="0.25">
      <c r="A192" t="s">
        <v>428</v>
      </c>
      <c r="B192" t="s">
        <v>429</v>
      </c>
      <c r="C192" t="s">
        <v>422</v>
      </c>
      <c r="D192" t="s">
        <v>19</v>
      </c>
      <c r="E192" t="s">
        <v>421</v>
      </c>
      <c r="F192">
        <v>25</v>
      </c>
      <c r="G192">
        <v>1.7</v>
      </c>
      <c r="H192">
        <v>42.5</v>
      </c>
    </row>
    <row r="193" spans="1:8" x14ac:dyDescent="0.25">
      <c r="A193" t="s">
        <v>426</v>
      </c>
      <c r="B193" t="s">
        <v>429</v>
      </c>
      <c r="C193" t="s">
        <v>955</v>
      </c>
      <c r="D193" t="s">
        <v>19</v>
      </c>
      <c r="E193" t="s">
        <v>421</v>
      </c>
      <c r="F193">
        <v>25</v>
      </c>
      <c r="G193">
        <v>1.8</v>
      </c>
      <c r="H193">
        <v>45</v>
      </c>
    </row>
    <row r="194" spans="1:8" x14ac:dyDescent="0.25">
      <c r="A194" t="s">
        <v>652</v>
      </c>
      <c r="B194" t="s">
        <v>654</v>
      </c>
      <c r="C194" t="s">
        <v>398</v>
      </c>
      <c r="D194" t="s">
        <v>19</v>
      </c>
      <c r="E194" t="s">
        <v>372</v>
      </c>
      <c r="F194">
        <v>30</v>
      </c>
      <c r="G194">
        <v>1.8</v>
      </c>
      <c r="H194">
        <v>54</v>
      </c>
    </row>
    <row r="195" spans="1:8" x14ac:dyDescent="0.25">
      <c r="A195" t="s">
        <v>553</v>
      </c>
      <c r="B195" t="s">
        <v>555</v>
      </c>
      <c r="C195" t="s">
        <v>26</v>
      </c>
      <c r="D195" t="s">
        <v>19</v>
      </c>
      <c r="E195" t="s">
        <v>372</v>
      </c>
      <c r="F195">
        <v>30</v>
      </c>
      <c r="G195">
        <v>1.8</v>
      </c>
      <c r="H195">
        <v>54</v>
      </c>
    </row>
    <row r="196" spans="1:8" x14ac:dyDescent="0.25">
      <c r="A196" t="s">
        <v>649</v>
      </c>
      <c r="B196" t="s">
        <v>651</v>
      </c>
      <c r="C196" t="s">
        <v>26</v>
      </c>
      <c r="D196" t="s">
        <v>19</v>
      </c>
      <c r="E196" t="s">
        <v>372</v>
      </c>
      <c r="F196">
        <v>30</v>
      </c>
      <c r="G196">
        <v>2.65</v>
      </c>
      <c r="H196">
        <v>79.5</v>
      </c>
    </row>
    <row r="197" spans="1:8" x14ac:dyDescent="0.25">
      <c r="A197" t="s">
        <v>539</v>
      </c>
      <c r="B197" t="s">
        <v>541</v>
      </c>
      <c r="C197" t="s">
        <v>422</v>
      </c>
      <c r="D197" t="s">
        <v>19</v>
      </c>
      <c r="E197" t="s">
        <v>421</v>
      </c>
      <c r="F197">
        <v>25</v>
      </c>
      <c r="G197">
        <v>1.6</v>
      </c>
      <c r="H197">
        <v>40</v>
      </c>
    </row>
    <row r="198" spans="1:8" x14ac:dyDescent="0.25">
      <c r="A198" t="s">
        <v>542</v>
      </c>
      <c r="B198" t="s">
        <v>543</v>
      </c>
      <c r="C198" t="s">
        <v>422</v>
      </c>
      <c r="D198" t="s">
        <v>19</v>
      </c>
      <c r="E198" t="s">
        <v>421</v>
      </c>
      <c r="F198">
        <v>25</v>
      </c>
      <c r="G198">
        <v>1.7</v>
      </c>
      <c r="H198">
        <v>42.5</v>
      </c>
    </row>
    <row r="199" spans="1:8" x14ac:dyDescent="0.25">
      <c r="A199" t="s">
        <v>664</v>
      </c>
      <c r="B199" t="s">
        <v>666</v>
      </c>
      <c r="C199" t="s">
        <v>18</v>
      </c>
      <c r="D199" t="s">
        <v>19</v>
      </c>
      <c r="E199" t="s">
        <v>372</v>
      </c>
      <c r="F199">
        <v>30</v>
      </c>
      <c r="G199">
        <v>1.55</v>
      </c>
      <c r="H199">
        <v>46.5</v>
      </c>
    </row>
    <row r="200" spans="1:8" x14ac:dyDescent="0.25">
      <c r="A200" t="s">
        <v>658</v>
      </c>
      <c r="B200" t="s">
        <v>660</v>
      </c>
      <c r="C200" t="s">
        <v>26</v>
      </c>
      <c r="D200" t="s">
        <v>19</v>
      </c>
      <c r="E200" t="s">
        <v>372</v>
      </c>
      <c r="F200">
        <v>30</v>
      </c>
      <c r="G200">
        <v>2</v>
      </c>
      <c r="H200">
        <v>60</v>
      </c>
    </row>
    <row r="201" spans="1:8" x14ac:dyDescent="0.25">
      <c r="A201" t="s">
        <v>710</v>
      </c>
      <c r="B201" t="s">
        <v>712</v>
      </c>
      <c r="C201" t="s">
        <v>26</v>
      </c>
      <c r="D201" t="s">
        <v>19</v>
      </c>
      <c r="E201" t="s">
        <v>372</v>
      </c>
      <c r="F201">
        <v>30</v>
      </c>
      <c r="G201">
        <v>2.1</v>
      </c>
      <c r="H201">
        <v>63</v>
      </c>
    </row>
    <row r="202" spans="1:8" x14ac:dyDescent="0.25">
      <c r="A202" t="s">
        <v>661</v>
      </c>
      <c r="B202" t="s">
        <v>956</v>
      </c>
      <c r="C202" t="s">
        <v>957</v>
      </c>
      <c r="D202" t="s">
        <v>19</v>
      </c>
      <c r="E202" t="s">
        <v>376</v>
      </c>
      <c r="F202">
        <v>33</v>
      </c>
      <c r="G202">
        <v>1.8</v>
      </c>
      <c r="H202">
        <v>59.4</v>
      </c>
    </row>
    <row r="203" spans="1:8" x14ac:dyDescent="0.25">
      <c r="A203" t="s">
        <v>561</v>
      </c>
      <c r="B203" t="s">
        <v>958</v>
      </c>
      <c r="C203" t="s">
        <v>959</v>
      </c>
      <c r="D203" t="s">
        <v>19</v>
      </c>
      <c r="E203" t="s">
        <v>563</v>
      </c>
      <c r="F203">
        <v>60</v>
      </c>
      <c r="G203">
        <v>3.6</v>
      </c>
      <c r="H203">
        <v>216</v>
      </c>
    </row>
    <row r="204" spans="1:8" x14ac:dyDescent="0.25">
      <c r="A204" t="s">
        <v>834</v>
      </c>
      <c r="B204" t="s">
        <v>836</v>
      </c>
      <c r="C204" t="s">
        <v>26</v>
      </c>
      <c r="D204" t="s">
        <v>106</v>
      </c>
      <c r="E204" t="s">
        <v>116</v>
      </c>
      <c r="F204">
        <v>26.25</v>
      </c>
      <c r="G204">
        <v>1.1499999999999999</v>
      </c>
      <c r="H204">
        <v>69</v>
      </c>
    </row>
    <row r="219" spans="1:8" x14ac:dyDescent="0.25">
      <c r="A219" t="s">
        <v>565</v>
      </c>
      <c r="B219" t="s">
        <v>836</v>
      </c>
      <c r="C219" t="s">
        <v>960</v>
      </c>
      <c r="D219" t="s">
        <v>19</v>
      </c>
      <c r="E219" t="s">
        <v>568</v>
      </c>
      <c r="F219">
        <v>21</v>
      </c>
      <c r="G219">
        <v>2</v>
      </c>
      <c r="H219">
        <v>42</v>
      </c>
    </row>
    <row r="220" spans="1:8" x14ac:dyDescent="0.25">
      <c r="A220" t="s">
        <v>843</v>
      </c>
      <c r="B220" t="s">
        <v>845</v>
      </c>
      <c r="C220" t="s">
        <v>26</v>
      </c>
      <c r="D220" t="s">
        <v>19</v>
      </c>
      <c r="E220" t="s">
        <v>116</v>
      </c>
      <c r="F220">
        <v>26.25</v>
      </c>
      <c r="G220">
        <v>1.1499999999999999</v>
      </c>
      <c r="H220">
        <v>69</v>
      </c>
    </row>
    <row r="221" spans="1:8" x14ac:dyDescent="0.25">
      <c r="A221" t="s">
        <v>868</v>
      </c>
      <c r="B221" t="s">
        <v>870</v>
      </c>
      <c r="C221" t="s">
        <v>26</v>
      </c>
      <c r="D221" t="s">
        <v>106</v>
      </c>
      <c r="E221" t="s">
        <v>116</v>
      </c>
      <c r="F221">
        <v>26.25</v>
      </c>
      <c r="G221">
        <v>1.3</v>
      </c>
      <c r="H221">
        <v>78</v>
      </c>
    </row>
    <row r="222" spans="1:8" x14ac:dyDescent="0.25">
      <c r="A222" t="s">
        <v>871</v>
      </c>
      <c r="B222" t="s">
        <v>873</v>
      </c>
      <c r="C222" t="s">
        <v>26</v>
      </c>
      <c r="D222" t="s">
        <v>19</v>
      </c>
      <c r="E222" t="s">
        <v>874</v>
      </c>
      <c r="F222">
        <v>18</v>
      </c>
      <c r="G222">
        <v>1.3</v>
      </c>
      <c r="H222">
        <v>31.2</v>
      </c>
    </row>
    <row r="223" spans="1:8" x14ac:dyDescent="0.25">
      <c r="A223" t="s">
        <v>737</v>
      </c>
      <c r="B223" t="s">
        <v>739</v>
      </c>
      <c r="C223" t="s">
        <v>26</v>
      </c>
      <c r="D223" t="s">
        <v>19</v>
      </c>
      <c r="E223" t="s">
        <v>537</v>
      </c>
      <c r="F223">
        <v>30</v>
      </c>
      <c r="G223">
        <v>2.9</v>
      </c>
      <c r="H223">
        <v>174</v>
      </c>
    </row>
    <row r="224" spans="1:8" x14ac:dyDescent="0.25">
      <c r="A224" t="s">
        <v>878</v>
      </c>
      <c r="B224" t="s">
        <v>880</v>
      </c>
      <c r="C224" t="s">
        <v>26</v>
      </c>
      <c r="D224" t="s">
        <v>19</v>
      </c>
      <c r="E224" t="s">
        <v>881</v>
      </c>
      <c r="F224">
        <v>10</v>
      </c>
      <c r="G224">
        <v>1.3</v>
      </c>
      <c r="H224">
        <v>52</v>
      </c>
    </row>
    <row r="225" spans="1:8" x14ac:dyDescent="0.25">
      <c r="A225" t="s">
        <v>855</v>
      </c>
      <c r="B225" t="s">
        <v>857</v>
      </c>
      <c r="C225" t="s">
        <v>26</v>
      </c>
      <c r="D225" t="s">
        <v>19</v>
      </c>
      <c r="E225" t="s">
        <v>849</v>
      </c>
      <c r="F225">
        <v>40</v>
      </c>
      <c r="G225">
        <v>3.8</v>
      </c>
      <c r="H225">
        <v>152</v>
      </c>
    </row>
    <row r="226" spans="1:8" x14ac:dyDescent="0.25">
      <c r="A226" t="s">
        <v>852</v>
      </c>
      <c r="B226" t="s">
        <v>854</v>
      </c>
      <c r="C226" t="s">
        <v>26</v>
      </c>
      <c r="D226" t="s">
        <v>19</v>
      </c>
      <c r="E226" t="s">
        <v>849</v>
      </c>
      <c r="F226">
        <v>40</v>
      </c>
      <c r="G226">
        <v>3.4</v>
      </c>
      <c r="H226">
        <v>136</v>
      </c>
    </row>
    <row r="284" spans="1:8" x14ac:dyDescent="0.25">
      <c r="A284" t="s">
        <v>919</v>
      </c>
      <c r="C284" t="s">
        <v>920</v>
      </c>
      <c r="D284" t="s">
        <v>921</v>
      </c>
      <c r="G284" t="s">
        <v>922</v>
      </c>
      <c r="H284" t="s">
        <v>961</v>
      </c>
    </row>
    <row r="285" spans="1:8" x14ac:dyDescent="0.25">
      <c r="A285" t="s">
        <v>924</v>
      </c>
      <c r="C285" t="s">
        <v>925</v>
      </c>
      <c r="D285" t="s">
        <v>926</v>
      </c>
      <c r="G285" t="s">
        <v>927</v>
      </c>
      <c r="H285" t="s">
        <v>928</v>
      </c>
    </row>
    <row r="287" spans="1:8" x14ac:dyDescent="0.25">
      <c r="A287" t="s">
        <v>929</v>
      </c>
      <c r="B287" t="s">
        <v>930</v>
      </c>
      <c r="C287" t="s">
        <v>931</v>
      </c>
      <c r="D287" t="s">
        <v>932</v>
      </c>
      <c r="E287" t="s">
        <v>933</v>
      </c>
      <c r="F287" t="s">
        <v>934</v>
      </c>
      <c r="G287" t="s">
        <v>935</v>
      </c>
      <c r="H287" t="s">
        <v>936</v>
      </c>
    </row>
    <row r="289" spans="1:8" x14ac:dyDescent="0.25">
      <c r="A289" t="s">
        <v>850</v>
      </c>
      <c r="B289" t="s">
        <v>851</v>
      </c>
      <c r="C289" t="s">
        <v>26</v>
      </c>
      <c r="D289" t="s">
        <v>19</v>
      </c>
      <c r="E289" t="s">
        <v>849</v>
      </c>
      <c r="F289">
        <v>40</v>
      </c>
      <c r="G289">
        <v>3.3</v>
      </c>
      <c r="H289">
        <v>132</v>
      </c>
    </row>
    <row r="290" spans="1:8" x14ac:dyDescent="0.25">
      <c r="A290" t="s">
        <v>846</v>
      </c>
      <c r="B290" t="s">
        <v>848</v>
      </c>
      <c r="C290" t="s">
        <v>26</v>
      </c>
      <c r="D290" t="s">
        <v>19</v>
      </c>
      <c r="E290" t="s">
        <v>849</v>
      </c>
      <c r="F290">
        <v>40</v>
      </c>
      <c r="G290">
        <v>3.3</v>
      </c>
      <c r="H290">
        <v>132</v>
      </c>
    </row>
    <row r="291" spans="1:8" x14ac:dyDescent="0.25">
      <c r="A291" t="s">
        <v>531</v>
      </c>
      <c r="B291" t="s">
        <v>533</v>
      </c>
      <c r="C291" t="s">
        <v>18</v>
      </c>
      <c r="D291" t="s">
        <v>19</v>
      </c>
      <c r="E291" t="s">
        <v>534</v>
      </c>
      <c r="F291">
        <v>44</v>
      </c>
      <c r="G291">
        <v>4.6500000000000004</v>
      </c>
      <c r="H291">
        <v>204.6</v>
      </c>
    </row>
    <row r="292" spans="1:8" x14ac:dyDescent="0.25">
      <c r="A292" t="s">
        <v>535</v>
      </c>
      <c r="B292" t="s">
        <v>536</v>
      </c>
      <c r="C292" t="s">
        <v>18</v>
      </c>
      <c r="D292" t="s">
        <v>19</v>
      </c>
      <c r="E292" t="s">
        <v>537</v>
      </c>
      <c r="F292">
        <v>30</v>
      </c>
      <c r="G292">
        <v>3.4</v>
      </c>
      <c r="H292">
        <v>204</v>
      </c>
    </row>
    <row r="293" spans="1:8" x14ac:dyDescent="0.25">
      <c r="A293" t="s">
        <v>824</v>
      </c>
      <c r="B293" t="s">
        <v>826</v>
      </c>
      <c r="C293" t="s">
        <v>26</v>
      </c>
      <c r="D293" t="s">
        <v>19</v>
      </c>
      <c r="E293" t="s">
        <v>17</v>
      </c>
      <c r="F293">
        <v>26</v>
      </c>
      <c r="G293">
        <v>2.8</v>
      </c>
      <c r="H293">
        <v>84</v>
      </c>
    </row>
    <row r="294" spans="1:8" x14ac:dyDescent="0.25">
      <c r="A294" t="s">
        <v>830</v>
      </c>
      <c r="B294" t="s">
        <v>832</v>
      </c>
      <c r="C294" t="s">
        <v>26</v>
      </c>
      <c r="D294" t="s">
        <v>19</v>
      </c>
      <c r="E294" t="s">
        <v>17</v>
      </c>
      <c r="F294">
        <v>26</v>
      </c>
      <c r="G294">
        <v>2.8</v>
      </c>
      <c r="H294">
        <v>84</v>
      </c>
    </row>
    <row r="295" spans="1:8" x14ac:dyDescent="0.25">
      <c r="A295" t="s">
        <v>827</v>
      </c>
      <c r="B295" t="s">
        <v>829</v>
      </c>
      <c r="C295" t="s">
        <v>26</v>
      </c>
      <c r="D295" t="s">
        <v>19</v>
      </c>
      <c r="E295" t="s">
        <v>17</v>
      </c>
      <c r="F295">
        <v>26</v>
      </c>
      <c r="G295">
        <v>2.5499999999999998</v>
      </c>
      <c r="H295">
        <v>76.5</v>
      </c>
    </row>
    <row r="296" spans="1:8" x14ac:dyDescent="0.25">
      <c r="A296" t="s">
        <v>14</v>
      </c>
      <c r="B296" t="s">
        <v>16</v>
      </c>
      <c r="C296" t="s">
        <v>18</v>
      </c>
      <c r="D296" t="s">
        <v>19</v>
      </c>
      <c r="E296" t="s">
        <v>17</v>
      </c>
      <c r="F296">
        <v>26</v>
      </c>
      <c r="G296">
        <v>3.25</v>
      </c>
      <c r="H296">
        <v>97.5</v>
      </c>
    </row>
    <row r="297" spans="1:8" x14ac:dyDescent="0.25">
      <c r="A297" t="s">
        <v>68</v>
      </c>
      <c r="B297" t="s">
        <v>70</v>
      </c>
      <c r="C297" t="s">
        <v>18</v>
      </c>
      <c r="D297" t="s">
        <v>19</v>
      </c>
      <c r="E297" t="s">
        <v>71</v>
      </c>
      <c r="F297">
        <v>50</v>
      </c>
      <c r="G297">
        <v>3.4</v>
      </c>
      <c r="H297">
        <v>170</v>
      </c>
    </row>
    <row r="298" spans="1:8" x14ac:dyDescent="0.25">
      <c r="A298" t="s">
        <v>75</v>
      </c>
      <c r="B298" t="s">
        <v>77</v>
      </c>
      <c r="C298" t="s">
        <v>18</v>
      </c>
      <c r="D298" t="s">
        <v>19</v>
      </c>
      <c r="E298" t="s">
        <v>71</v>
      </c>
      <c r="F298">
        <v>50</v>
      </c>
      <c r="G298">
        <v>3.7</v>
      </c>
      <c r="H298">
        <v>185</v>
      </c>
    </row>
    <row r="299" spans="1:8" x14ac:dyDescent="0.25">
      <c r="A299" t="s">
        <v>72</v>
      </c>
      <c r="B299" t="s">
        <v>74</v>
      </c>
      <c r="C299" t="s">
        <v>18</v>
      </c>
      <c r="D299" t="s">
        <v>19</v>
      </c>
      <c r="E299" t="s">
        <v>17</v>
      </c>
      <c r="F299">
        <v>26.25</v>
      </c>
      <c r="G299">
        <v>3.7</v>
      </c>
      <c r="H299">
        <v>111</v>
      </c>
    </row>
    <row r="300" spans="1:8" x14ac:dyDescent="0.25">
      <c r="A300" t="s">
        <v>83</v>
      </c>
      <c r="B300" t="s">
        <v>79</v>
      </c>
      <c r="C300" t="s">
        <v>962</v>
      </c>
      <c r="D300" t="s">
        <v>19</v>
      </c>
      <c r="E300" t="s">
        <v>17</v>
      </c>
      <c r="F300">
        <v>26.25</v>
      </c>
      <c r="G300">
        <v>3.8</v>
      </c>
      <c r="H300">
        <v>114</v>
      </c>
    </row>
    <row r="301" spans="1:8" x14ac:dyDescent="0.25">
      <c r="A301" t="s">
        <v>85</v>
      </c>
      <c r="B301" t="s">
        <v>79</v>
      </c>
      <c r="C301" t="s">
        <v>963</v>
      </c>
      <c r="D301" t="s">
        <v>19</v>
      </c>
      <c r="E301" t="s">
        <v>17</v>
      </c>
      <c r="F301">
        <v>26.25</v>
      </c>
      <c r="G301">
        <v>3.8</v>
      </c>
      <c r="H301">
        <v>114</v>
      </c>
    </row>
    <row r="302" spans="1:8" x14ac:dyDescent="0.25">
      <c r="A302" t="s">
        <v>40</v>
      </c>
      <c r="B302" t="s">
        <v>42</v>
      </c>
      <c r="C302" t="s">
        <v>18</v>
      </c>
      <c r="D302" t="s">
        <v>19</v>
      </c>
      <c r="E302" t="s">
        <v>43</v>
      </c>
      <c r="F302">
        <v>30</v>
      </c>
      <c r="G302">
        <v>3.2</v>
      </c>
      <c r="H302">
        <v>96</v>
      </c>
    </row>
    <row r="303" spans="1:8" x14ac:dyDescent="0.25">
      <c r="A303" t="s">
        <v>55</v>
      </c>
      <c r="B303" t="s">
        <v>57</v>
      </c>
      <c r="C303" t="s">
        <v>18</v>
      </c>
      <c r="D303" t="s">
        <v>19</v>
      </c>
      <c r="E303" t="s">
        <v>17</v>
      </c>
      <c r="F303">
        <v>26.25</v>
      </c>
      <c r="G303">
        <v>2.85</v>
      </c>
      <c r="H303">
        <v>85.5</v>
      </c>
    </row>
    <row r="304" spans="1:8" x14ac:dyDescent="0.25">
      <c r="A304" t="s">
        <v>98</v>
      </c>
      <c r="B304" t="s">
        <v>99</v>
      </c>
      <c r="C304" t="s">
        <v>100</v>
      </c>
      <c r="D304" t="s">
        <v>19</v>
      </c>
      <c r="E304" t="s">
        <v>43</v>
      </c>
      <c r="F304">
        <v>30</v>
      </c>
      <c r="G304">
        <v>4.2</v>
      </c>
      <c r="H304">
        <v>126</v>
      </c>
    </row>
    <row r="305" spans="1:8" x14ac:dyDescent="0.25">
      <c r="A305" t="s">
        <v>44</v>
      </c>
      <c r="B305" t="s">
        <v>46</v>
      </c>
      <c r="C305" t="s">
        <v>38</v>
      </c>
      <c r="D305" t="s">
        <v>19</v>
      </c>
      <c r="E305" t="s">
        <v>47</v>
      </c>
      <c r="F305">
        <v>36</v>
      </c>
      <c r="G305">
        <v>2.7</v>
      </c>
      <c r="H305">
        <v>97.2</v>
      </c>
    </row>
    <row r="306" spans="1:8" x14ac:dyDescent="0.25">
      <c r="A306" t="s">
        <v>34</v>
      </c>
      <c r="B306" t="s">
        <v>36</v>
      </c>
      <c r="C306" t="s">
        <v>38</v>
      </c>
      <c r="D306" t="s">
        <v>19</v>
      </c>
      <c r="E306" t="s">
        <v>37</v>
      </c>
      <c r="F306">
        <v>22</v>
      </c>
      <c r="G306">
        <v>3.2</v>
      </c>
      <c r="H306">
        <v>70.56</v>
      </c>
    </row>
    <row r="307" spans="1:8" x14ac:dyDescent="0.25">
      <c r="A307" t="s">
        <v>58</v>
      </c>
      <c r="B307" t="s">
        <v>60</v>
      </c>
      <c r="C307" t="s">
        <v>61</v>
      </c>
      <c r="D307" t="s">
        <v>19</v>
      </c>
      <c r="E307" t="s">
        <v>43</v>
      </c>
      <c r="F307">
        <v>30</v>
      </c>
      <c r="G307">
        <v>8.3000000000000007</v>
      </c>
      <c r="H307">
        <v>249</v>
      </c>
    </row>
    <row r="308" spans="1:8" x14ac:dyDescent="0.25">
      <c r="A308" t="s">
        <v>62</v>
      </c>
      <c r="B308" t="s">
        <v>63</v>
      </c>
      <c r="C308" t="s">
        <v>61</v>
      </c>
      <c r="D308" t="s">
        <v>19</v>
      </c>
      <c r="E308" t="s">
        <v>43</v>
      </c>
      <c r="F308">
        <v>30</v>
      </c>
      <c r="G308">
        <v>8.8000000000000007</v>
      </c>
      <c r="H308">
        <v>264</v>
      </c>
    </row>
    <row r="309" spans="1:8" x14ac:dyDescent="0.25">
      <c r="A309" t="s">
        <v>65</v>
      </c>
      <c r="B309" t="s">
        <v>66</v>
      </c>
      <c r="C309" t="s">
        <v>61</v>
      </c>
      <c r="D309" t="s">
        <v>19</v>
      </c>
      <c r="E309" t="s">
        <v>67</v>
      </c>
      <c r="F309">
        <v>30</v>
      </c>
      <c r="G309">
        <v>9.5</v>
      </c>
      <c r="H309">
        <v>285</v>
      </c>
    </row>
    <row r="310" spans="1:8" x14ac:dyDescent="0.25">
      <c r="A310" t="s">
        <v>636</v>
      </c>
      <c r="B310" t="s">
        <v>637</v>
      </c>
      <c r="C310" t="s">
        <v>312</v>
      </c>
      <c r="D310" t="s">
        <v>106</v>
      </c>
      <c r="E310" t="s">
        <v>177</v>
      </c>
      <c r="F310">
        <v>40</v>
      </c>
      <c r="G310">
        <v>2.95</v>
      </c>
      <c r="H310">
        <v>118</v>
      </c>
    </row>
    <row r="311" spans="1:8" x14ac:dyDescent="0.25">
      <c r="A311" t="s">
        <v>638</v>
      </c>
      <c r="B311" t="s">
        <v>639</v>
      </c>
      <c r="C311" t="s">
        <v>312</v>
      </c>
      <c r="D311" t="s">
        <v>106</v>
      </c>
      <c r="E311" t="s">
        <v>177</v>
      </c>
      <c r="F311">
        <v>40</v>
      </c>
      <c r="G311">
        <v>3</v>
      </c>
      <c r="H311">
        <v>120</v>
      </c>
    </row>
    <row r="312" spans="1:8" x14ac:dyDescent="0.25">
      <c r="A312" t="s">
        <v>633</v>
      </c>
      <c r="B312" t="s">
        <v>635</v>
      </c>
      <c r="C312" t="s">
        <v>312</v>
      </c>
      <c r="D312" t="s">
        <v>106</v>
      </c>
      <c r="E312" t="s">
        <v>177</v>
      </c>
      <c r="F312">
        <v>40</v>
      </c>
      <c r="G312">
        <v>3</v>
      </c>
      <c r="H312">
        <v>120</v>
      </c>
    </row>
    <row r="313" spans="1:8" x14ac:dyDescent="0.25">
      <c r="A313" t="s">
        <v>416</v>
      </c>
      <c r="B313" t="s">
        <v>418</v>
      </c>
      <c r="C313" t="s">
        <v>18</v>
      </c>
      <c r="D313" t="s">
        <v>106</v>
      </c>
      <c r="E313" t="s">
        <v>320</v>
      </c>
      <c r="F313">
        <v>40</v>
      </c>
      <c r="G313">
        <v>3.4</v>
      </c>
      <c r="H313">
        <v>136</v>
      </c>
    </row>
    <row r="314" spans="1:8" x14ac:dyDescent="0.25">
      <c r="A314" t="s">
        <v>674</v>
      </c>
      <c r="B314" t="s">
        <v>675</v>
      </c>
      <c r="C314" t="s">
        <v>219</v>
      </c>
      <c r="D314" t="s">
        <v>19</v>
      </c>
      <c r="E314" t="s">
        <v>912</v>
      </c>
      <c r="F314">
        <v>22</v>
      </c>
      <c r="G314">
        <v>2.65</v>
      </c>
      <c r="H314">
        <v>58.3</v>
      </c>
    </row>
    <row r="315" spans="1:8" x14ac:dyDescent="0.25">
      <c r="A315" t="s">
        <v>671</v>
      </c>
      <c r="B315" t="s">
        <v>673</v>
      </c>
      <c r="C315" t="s">
        <v>100</v>
      </c>
      <c r="D315" t="s">
        <v>19</v>
      </c>
      <c r="E315" t="s">
        <v>43</v>
      </c>
      <c r="F315">
        <v>30</v>
      </c>
      <c r="G315">
        <v>3.4</v>
      </c>
      <c r="H315">
        <v>102</v>
      </c>
    </row>
    <row r="316" spans="1:8" x14ac:dyDescent="0.25">
      <c r="A316" t="s">
        <v>720</v>
      </c>
      <c r="B316" t="s">
        <v>722</v>
      </c>
      <c r="C316" t="s">
        <v>724</v>
      </c>
      <c r="D316" t="s">
        <v>19</v>
      </c>
      <c r="E316" t="s">
        <v>723</v>
      </c>
      <c r="F316">
        <v>22</v>
      </c>
      <c r="G316">
        <v>3.8</v>
      </c>
      <c r="H316">
        <v>83.79</v>
      </c>
    </row>
    <row r="317" spans="1:8" x14ac:dyDescent="0.25">
      <c r="A317" t="s">
        <v>509</v>
      </c>
      <c r="B317" t="s">
        <v>511</v>
      </c>
      <c r="C317" t="s">
        <v>26</v>
      </c>
      <c r="D317" t="s">
        <v>19</v>
      </c>
      <c r="E317" t="s">
        <v>17</v>
      </c>
      <c r="F317">
        <v>27</v>
      </c>
      <c r="G317">
        <v>3.9</v>
      </c>
      <c r="H317">
        <v>117</v>
      </c>
    </row>
    <row r="318" spans="1:8" x14ac:dyDescent="0.25">
      <c r="A318" t="s">
        <v>750</v>
      </c>
      <c r="B318" t="s">
        <v>752</v>
      </c>
      <c r="C318" t="s">
        <v>61</v>
      </c>
      <c r="D318" t="s">
        <v>19</v>
      </c>
      <c r="E318" t="s">
        <v>376</v>
      </c>
      <c r="F318">
        <v>33</v>
      </c>
      <c r="G318">
        <v>3</v>
      </c>
      <c r="H318">
        <v>99</v>
      </c>
    </row>
    <row r="319" spans="1:8" x14ac:dyDescent="0.25">
      <c r="A319" t="s">
        <v>503</v>
      </c>
      <c r="B319" t="s">
        <v>505</v>
      </c>
      <c r="C319" t="s">
        <v>26</v>
      </c>
      <c r="D319" t="s">
        <v>19</v>
      </c>
      <c r="E319" t="s">
        <v>116</v>
      </c>
      <c r="F319">
        <v>26.25</v>
      </c>
      <c r="G319">
        <v>2</v>
      </c>
      <c r="H319">
        <v>120</v>
      </c>
    </row>
    <row r="320" spans="1:8" x14ac:dyDescent="0.25">
      <c r="A320" t="s">
        <v>506</v>
      </c>
      <c r="B320" t="s">
        <v>508</v>
      </c>
      <c r="C320" t="s">
        <v>26</v>
      </c>
      <c r="D320" t="s">
        <v>19</v>
      </c>
      <c r="E320" t="s">
        <v>372</v>
      </c>
      <c r="F320">
        <v>30</v>
      </c>
      <c r="G320">
        <v>4.0999999999999996</v>
      </c>
      <c r="H320">
        <v>123</v>
      </c>
    </row>
    <row r="321" spans="1:8" x14ac:dyDescent="0.25">
      <c r="A321" t="s">
        <v>744</v>
      </c>
      <c r="B321" t="s">
        <v>746</v>
      </c>
      <c r="C321" t="s">
        <v>61</v>
      </c>
      <c r="D321" t="s">
        <v>19</v>
      </c>
      <c r="E321" t="s">
        <v>372</v>
      </c>
      <c r="F321">
        <v>30</v>
      </c>
      <c r="G321">
        <v>2.4</v>
      </c>
      <c r="H321">
        <v>72</v>
      </c>
    </row>
    <row r="322" spans="1:8" x14ac:dyDescent="0.25">
      <c r="A322" t="s">
        <v>545</v>
      </c>
      <c r="B322" t="s">
        <v>547</v>
      </c>
      <c r="C322" t="s">
        <v>422</v>
      </c>
      <c r="D322" t="s">
        <v>19</v>
      </c>
      <c r="E322" t="s">
        <v>421</v>
      </c>
      <c r="F322">
        <v>22</v>
      </c>
      <c r="G322">
        <v>2.2999999999999998</v>
      </c>
      <c r="H322">
        <v>57.5</v>
      </c>
    </row>
    <row r="323" spans="1:8" x14ac:dyDescent="0.25">
      <c r="A323" t="s">
        <v>411</v>
      </c>
      <c r="B323" t="s">
        <v>413</v>
      </c>
      <c r="C323" t="s">
        <v>312</v>
      </c>
      <c r="D323" t="s">
        <v>106</v>
      </c>
      <c r="E323" t="s">
        <v>177</v>
      </c>
      <c r="F323">
        <v>40</v>
      </c>
      <c r="G323">
        <v>3.1</v>
      </c>
      <c r="H323">
        <v>124</v>
      </c>
    </row>
    <row r="324" spans="1:8" x14ac:dyDescent="0.25">
      <c r="A324" t="s">
        <v>414</v>
      </c>
      <c r="B324" t="s">
        <v>415</v>
      </c>
      <c r="C324" t="s">
        <v>312</v>
      </c>
      <c r="D324" t="s">
        <v>106</v>
      </c>
      <c r="E324" t="s">
        <v>177</v>
      </c>
      <c r="F324">
        <v>40</v>
      </c>
      <c r="G324">
        <v>3.2</v>
      </c>
      <c r="H324">
        <v>128</v>
      </c>
    </row>
    <row r="325" spans="1:8" x14ac:dyDescent="0.25">
      <c r="A325" t="s">
        <v>457</v>
      </c>
      <c r="B325" t="s">
        <v>459</v>
      </c>
      <c r="C325" t="s">
        <v>26</v>
      </c>
      <c r="D325" t="s">
        <v>19</v>
      </c>
      <c r="E325" t="s">
        <v>294</v>
      </c>
      <c r="F325">
        <v>30</v>
      </c>
      <c r="G325">
        <v>3.4</v>
      </c>
      <c r="H325">
        <v>102</v>
      </c>
    </row>
    <row r="326" spans="1:8" x14ac:dyDescent="0.25">
      <c r="A326" t="s">
        <v>697</v>
      </c>
      <c r="B326" t="s">
        <v>699</v>
      </c>
      <c r="C326" t="s">
        <v>398</v>
      </c>
      <c r="D326" t="s">
        <v>19</v>
      </c>
      <c r="E326" t="s">
        <v>372</v>
      </c>
      <c r="F326">
        <v>30</v>
      </c>
      <c r="G326">
        <v>3.5</v>
      </c>
      <c r="H326">
        <v>105</v>
      </c>
    </row>
    <row r="327" spans="1:8" x14ac:dyDescent="0.25">
      <c r="A327" t="s">
        <v>740</v>
      </c>
      <c r="B327" t="s">
        <v>741</v>
      </c>
      <c r="C327" t="s">
        <v>398</v>
      </c>
      <c r="D327" t="s">
        <v>19</v>
      </c>
      <c r="E327" t="s">
        <v>372</v>
      </c>
      <c r="F327">
        <v>30</v>
      </c>
      <c r="G327">
        <v>3</v>
      </c>
      <c r="H327">
        <v>90</v>
      </c>
    </row>
    <row r="328" spans="1:8" x14ac:dyDescent="0.25">
      <c r="A328" t="s">
        <v>473</v>
      </c>
      <c r="B328" t="s">
        <v>474</v>
      </c>
      <c r="C328" t="s">
        <v>61</v>
      </c>
      <c r="D328" t="s">
        <v>19</v>
      </c>
      <c r="E328" t="s">
        <v>376</v>
      </c>
      <c r="F328">
        <v>33</v>
      </c>
      <c r="G328">
        <v>2.6</v>
      </c>
      <c r="H328">
        <v>85.8</v>
      </c>
    </row>
    <row r="329" spans="1:8" x14ac:dyDescent="0.25">
      <c r="A329" t="s">
        <v>475</v>
      </c>
      <c r="B329" t="s">
        <v>476</v>
      </c>
      <c r="C329" t="s">
        <v>61</v>
      </c>
      <c r="D329" t="s">
        <v>19</v>
      </c>
      <c r="E329" t="s">
        <v>376</v>
      </c>
      <c r="F329">
        <v>33</v>
      </c>
      <c r="G329">
        <v>2.7</v>
      </c>
      <c r="H329">
        <v>89.1</v>
      </c>
    </row>
    <row r="330" spans="1:8" x14ac:dyDescent="0.25">
      <c r="A330" t="s">
        <v>470</v>
      </c>
      <c r="B330" t="s">
        <v>472</v>
      </c>
      <c r="C330" t="s">
        <v>26</v>
      </c>
      <c r="D330" t="s">
        <v>19</v>
      </c>
      <c r="E330" t="s">
        <v>376</v>
      </c>
      <c r="F330">
        <v>33</v>
      </c>
      <c r="G330">
        <v>2.8</v>
      </c>
      <c r="H330">
        <v>92.4</v>
      </c>
    </row>
    <row r="331" spans="1:8" x14ac:dyDescent="0.25">
      <c r="A331" t="s">
        <v>609</v>
      </c>
      <c r="B331" t="s">
        <v>610</v>
      </c>
      <c r="C331" t="s">
        <v>26</v>
      </c>
      <c r="D331" t="s">
        <v>19</v>
      </c>
      <c r="E331" t="s">
        <v>376</v>
      </c>
      <c r="F331">
        <v>33</v>
      </c>
      <c r="G331">
        <v>3.35</v>
      </c>
      <c r="H331">
        <v>110.55</v>
      </c>
    </row>
    <row r="332" spans="1:8" x14ac:dyDescent="0.25">
      <c r="A332" t="s">
        <v>611</v>
      </c>
      <c r="B332" t="s">
        <v>612</v>
      </c>
      <c r="C332" t="s">
        <v>61</v>
      </c>
      <c r="D332" t="s">
        <v>19</v>
      </c>
      <c r="E332" t="s">
        <v>376</v>
      </c>
      <c r="F332">
        <v>33</v>
      </c>
      <c r="G332">
        <v>3.55</v>
      </c>
      <c r="H332">
        <v>117.15</v>
      </c>
    </row>
    <row r="333" spans="1:8" x14ac:dyDescent="0.25">
      <c r="A333" t="s">
        <v>605</v>
      </c>
      <c r="B333" t="s">
        <v>607</v>
      </c>
      <c r="C333" t="s">
        <v>608</v>
      </c>
      <c r="D333" t="s">
        <v>19</v>
      </c>
      <c r="E333" t="s">
        <v>376</v>
      </c>
      <c r="F333">
        <v>33</v>
      </c>
      <c r="G333">
        <v>3.85</v>
      </c>
      <c r="H333">
        <v>127.05</v>
      </c>
    </row>
    <row r="334" spans="1:8" x14ac:dyDescent="0.25">
      <c r="A334" t="s">
        <v>452</v>
      </c>
      <c r="B334" t="s">
        <v>454</v>
      </c>
      <c r="C334" t="s">
        <v>18</v>
      </c>
      <c r="D334" t="s">
        <v>106</v>
      </c>
      <c r="E334" t="s">
        <v>299</v>
      </c>
      <c r="F334">
        <v>10</v>
      </c>
      <c r="G334">
        <v>4</v>
      </c>
      <c r="H334">
        <v>40</v>
      </c>
    </row>
    <row r="349" spans="1:8" x14ac:dyDescent="0.25">
      <c r="A349" t="s">
        <v>677</v>
      </c>
      <c r="B349" t="s">
        <v>679</v>
      </c>
      <c r="C349" t="s">
        <v>61</v>
      </c>
      <c r="D349" t="s">
        <v>19</v>
      </c>
      <c r="E349" t="s">
        <v>376</v>
      </c>
      <c r="F349">
        <v>33</v>
      </c>
      <c r="G349">
        <v>5.3</v>
      </c>
      <c r="H349">
        <v>174.9</v>
      </c>
    </row>
    <row r="350" spans="1:8" x14ac:dyDescent="0.25">
      <c r="A350" t="s">
        <v>680</v>
      </c>
      <c r="B350" t="s">
        <v>681</v>
      </c>
      <c r="C350" t="s">
        <v>61</v>
      </c>
      <c r="D350" t="s">
        <v>19</v>
      </c>
      <c r="E350" t="s">
        <v>376</v>
      </c>
      <c r="F350">
        <v>33</v>
      </c>
      <c r="G350">
        <v>5.3</v>
      </c>
      <c r="H350">
        <v>174.9</v>
      </c>
    </row>
    <row r="351" spans="1:8" x14ac:dyDescent="0.25">
      <c r="A351" t="s">
        <v>682</v>
      </c>
      <c r="B351" t="s">
        <v>683</v>
      </c>
      <c r="C351" t="s">
        <v>26</v>
      </c>
      <c r="D351" t="s">
        <v>19</v>
      </c>
      <c r="E351" t="s">
        <v>376</v>
      </c>
      <c r="F351">
        <v>33</v>
      </c>
      <c r="G351">
        <v>5.4</v>
      </c>
      <c r="H351">
        <v>178.2</v>
      </c>
    </row>
    <row r="352" spans="1:8" x14ac:dyDescent="0.25">
      <c r="A352" t="s">
        <v>684</v>
      </c>
      <c r="B352" t="s">
        <v>685</v>
      </c>
      <c r="C352" t="s">
        <v>61</v>
      </c>
      <c r="D352" t="s">
        <v>19</v>
      </c>
      <c r="E352" t="s">
        <v>376</v>
      </c>
      <c r="F352">
        <v>33</v>
      </c>
      <c r="G352">
        <v>5.4</v>
      </c>
      <c r="H352">
        <v>178.2</v>
      </c>
    </row>
    <row r="353" spans="1:8" x14ac:dyDescent="0.25">
      <c r="A353" t="s">
        <v>513</v>
      </c>
      <c r="B353" t="s">
        <v>515</v>
      </c>
      <c r="C353" t="s">
        <v>26</v>
      </c>
      <c r="D353" t="s">
        <v>19</v>
      </c>
      <c r="E353" t="s">
        <v>376</v>
      </c>
      <c r="F353">
        <v>33</v>
      </c>
      <c r="G353">
        <v>5.7</v>
      </c>
      <c r="H353">
        <v>188.1</v>
      </c>
    </row>
    <row r="354" spans="1:8" x14ac:dyDescent="0.25">
      <c r="A354" t="s">
        <v>369</v>
      </c>
      <c r="B354" t="s">
        <v>371</v>
      </c>
      <c r="C354" t="s">
        <v>26</v>
      </c>
      <c r="D354" t="s">
        <v>106</v>
      </c>
      <c r="E354" t="s">
        <v>372</v>
      </c>
      <c r="F354">
        <v>30</v>
      </c>
      <c r="G354">
        <v>2.6</v>
      </c>
      <c r="H354">
        <v>78</v>
      </c>
    </row>
    <row r="355" spans="1:8" x14ac:dyDescent="0.25">
      <c r="A355" t="s">
        <v>377</v>
      </c>
      <c r="B355" t="s">
        <v>379</v>
      </c>
      <c r="C355" t="s">
        <v>26</v>
      </c>
      <c r="D355" t="s">
        <v>106</v>
      </c>
      <c r="E355" t="s">
        <v>372</v>
      </c>
      <c r="F355">
        <v>30</v>
      </c>
      <c r="G355">
        <v>2.6</v>
      </c>
      <c r="H355">
        <v>78</v>
      </c>
    </row>
    <row r="356" spans="1:8" x14ac:dyDescent="0.25">
      <c r="A356" t="s">
        <v>373</v>
      </c>
      <c r="B356" t="s">
        <v>375</v>
      </c>
      <c r="C356" t="s">
        <v>26</v>
      </c>
      <c r="D356" t="s">
        <v>106</v>
      </c>
      <c r="E356" t="s">
        <v>376</v>
      </c>
      <c r="F356">
        <v>33</v>
      </c>
      <c r="G356">
        <v>2.5</v>
      </c>
      <c r="H356">
        <v>82.5</v>
      </c>
    </row>
    <row r="414" spans="1:8" x14ac:dyDescent="0.25">
      <c r="A414" t="s">
        <v>919</v>
      </c>
      <c r="C414" t="s">
        <v>920</v>
      </c>
      <c r="D414" t="s">
        <v>921</v>
      </c>
      <c r="G414" t="s">
        <v>922</v>
      </c>
      <c r="H414" t="s">
        <v>964</v>
      </c>
    </row>
    <row r="415" spans="1:8" x14ac:dyDescent="0.25">
      <c r="A415" t="s">
        <v>924</v>
      </c>
      <c r="C415" t="s">
        <v>925</v>
      </c>
      <c r="D415" t="s">
        <v>926</v>
      </c>
      <c r="G415" t="s">
        <v>927</v>
      </c>
      <c r="H415" t="s">
        <v>928</v>
      </c>
    </row>
    <row r="417" spans="1:8" x14ac:dyDescent="0.25">
      <c r="A417" t="s">
        <v>929</v>
      </c>
      <c r="B417" t="s">
        <v>930</v>
      </c>
      <c r="C417" t="s">
        <v>931</v>
      </c>
      <c r="D417" t="s">
        <v>932</v>
      </c>
      <c r="E417" t="s">
        <v>933</v>
      </c>
      <c r="F417" t="s">
        <v>934</v>
      </c>
      <c r="G417" t="s">
        <v>935</v>
      </c>
      <c r="H417" t="s">
        <v>936</v>
      </c>
    </row>
    <row r="419" spans="1:8" x14ac:dyDescent="0.25">
      <c r="A419" t="s">
        <v>578</v>
      </c>
      <c r="B419" t="s">
        <v>579</v>
      </c>
      <c r="C419" t="s">
        <v>312</v>
      </c>
      <c r="D419" t="s">
        <v>106</v>
      </c>
      <c r="E419" t="s">
        <v>177</v>
      </c>
      <c r="F419">
        <v>40</v>
      </c>
      <c r="G419">
        <v>2.6</v>
      </c>
      <c r="H419">
        <v>104</v>
      </c>
    </row>
    <row r="420" spans="1:8" x14ac:dyDescent="0.25">
      <c r="A420" t="s">
        <v>580</v>
      </c>
      <c r="B420" t="s">
        <v>581</v>
      </c>
      <c r="C420" t="s">
        <v>312</v>
      </c>
      <c r="D420" t="s">
        <v>106</v>
      </c>
      <c r="E420" t="s">
        <v>177</v>
      </c>
      <c r="F420">
        <v>40</v>
      </c>
      <c r="G420">
        <v>2.7</v>
      </c>
      <c r="H420">
        <v>108</v>
      </c>
    </row>
    <row r="421" spans="1:8" x14ac:dyDescent="0.25">
      <c r="A421" t="s">
        <v>575</v>
      </c>
      <c r="B421" t="s">
        <v>577</v>
      </c>
      <c r="C421" t="s">
        <v>312</v>
      </c>
      <c r="D421" t="s">
        <v>106</v>
      </c>
      <c r="E421" t="s">
        <v>177</v>
      </c>
      <c r="F421">
        <v>40</v>
      </c>
      <c r="G421">
        <v>2.8</v>
      </c>
      <c r="H421">
        <v>112</v>
      </c>
    </row>
    <row r="422" spans="1:8" x14ac:dyDescent="0.25">
      <c r="A422" t="s">
        <v>734</v>
      </c>
      <c r="B422" t="s">
        <v>736</v>
      </c>
      <c r="C422" t="s">
        <v>26</v>
      </c>
      <c r="D422" t="s">
        <v>19</v>
      </c>
      <c r="E422" t="s">
        <v>372</v>
      </c>
      <c r="F422">
        <v>30</v>
      </c>
      <c r="G422">
        <v>1.6</v>
      </c>
      <c r="H422">
        <v>48</v>
      </c>
    </row>
    <row r="423" spans="1:8" x14ac:dyDescent="0.25">
      <c r="A423" t="s">
        <v>691</v>
      </c>
      <c r="B423" t="s">
        <v>693</v>
      </c>
      <c r="C423" t="s">
        <v>61</v>
      </c>
      <c r="D423" t="s">
        <v>19</v>
      </c>
      <c r="E423" t="s">
        <v>376</v>
      </c>
      <c r="F423">
        <v>33</v>
      </c>
      <c r="G423">
        <v>2.8</v>
      </c>
      <c r="H423">
        <v>92.4</v>
      </c>
    </row>
    <row r="424" spans="1:8" x14ac:dyDescent="0.25">
      <c r="A424" t="s">
        <v>694</v>
      </c>
      <c r="B424" t="s">
        <v>695</v>
      </c>
      <c r="C424" t="s">
        <v>61</v>
      </c>
      <c r="D424" t="s">
        <v>19</v>
      </c>
      <c r="E424" t="s">
        <v>376</v>
      </c>
      <c r="F424">
        <v>33</v>
      </c>
      <c r="G424">
        <v>2.9</v>
      </c>
      <c r="H424">
        <v>95.7</v>
      </c>
    </row>
    <row r="425" spans="1:8" x14ac:dyDescent="0.25">
      <c r="A425" t="s">
        <v>438</v>
      </c>
      <c r="B425" t="s">
        <v>440</v>
      </c>
      <c r="C425" t="s">
        <v>26</v>
      </c>
      <c r="D425" t="s">
        <v>106</v>
      </c>
      <c r="E425" t="s">
        <v>372</v>
      </c>
      <c r="F425">
        <v>30</v>
      </c>
      <c r="G425">
        <v>4</v>
      </c>
      <c r="H425">
        <v>120</v>
      </c>
    </row>
    <row r="426" spans="1:8" x14ac:dyDescent="0.25">
      <c r="A426" t="s">
        <v>431</v>
      </c>
      <c r="B426" t="s">
        <v>433</v>
      </c>
      <c r="C426" t="s">
        <v>18</v>
      </c>
      <c r="D426" t="s">
        <v>106</v>
      </c>
      <c r="E426" t="s">
        <v>372</v>
      </c>
      <c r="F426">
        <v>30</v>
      </c>
      <c r="G426">
        <v>3.9</v>
      </c>
      <c r="H426">
        <v>117</v>
      </c>
    </row>
    <row r="427" spans="1:8" x14ac:dyDescent="0.25">
      <c r="A427" t="s">
        <v>434</v>
      </c>
      <c r="B427" t="s">
        <v>435</v>
      </c>
      <c r="C427" t="s">
        <v>26</v>
      </c>
      <c r="D427" t="s">
        <v>106</v>
      </c>
      <c r="E427" t="s">
        <v>376</v>
      </c>
      <c r="F427">
        <v>33</v>
      </c>
      <c r="G427">
        <v>3.8</v>
      </c>
      <c r="H427">
        <v>125.4</v>
      </c>
    </row>
    <row r="428" spans="1:8" x14ac:dyDescent="0.25">
      <c r="A428" t="s">
        <v>436</v>
      </c>
      <c r="B428" t="s">
        <v>437</v>
      </c>
      <c r="C428" t="s">
        <v>26</v>
      </c>
      <c r="D428" t="s">
        <v>106</v>
      </c>
      <c r="E428" t="s">
        <v>376</v>
      </c>
      <c r="F428">
        <v>33</v>
      </c>
      <c r="G428">
        <v>3.8</v>
      </c>
      <c r="H428">
        <v>125.4</v>
      </c>
    </row>
    <row r="429" spans="1:8" x14ac:dyDescent="0.25">
      <c r="A429" t="s">
        <v>441</v>
      </c>
      <c r="B429" t="s">
        <v>443</v>
      </c>
      <c r="C429" t="s">
        <v>26</v>
      </c>
      <c r="D429" t="s">
        <v>106</v>
      </c>
      <c r="E429" t="s">
        <v>372</v>
      </c>
      <c r="F429">
        <v>30</v>
      </c>
      <c r="G429">
        <v>3.9</v>
      </c>
      <c r="H429">
        <v>117</v>
      </c>
    </row>
    <row r="430" spans="1:8" x14ac:dyDescent="0.25">
      <c r="A430" t="s">
        <v>617</v>
      </c>
      <c r="B430" t="s">
        <v>618</v>
      </c>
      <c r="C430" t="s">
        <v>312</v>
      </c>
      <c r="D430" t="s">
        <v>106</v>
      </c>
      <c r="E430" t="s">
        <v>177</v>
      </c>
      <c r="F430">
        <v>40</v>
      </c>
      <c r="G430">
        <v>2.8</v>
      </c>
      <c r="H430">
        <v>112</v>
      </c>
    </row>
    <row r="431" spans="1:8" x14ac:dyDescent="0.25">
      <c r="A431" t="s">
        <v>619</v>
      </c>
      <c r="B431" t="s">
        <v>620</v>
      </c>
      <c r="C431" t="s">
        <v>312</v>
      </c>
      <c r="D431" t="s">
        <v>106</v>
      </c>
      <c r="E431" t="s">
        <v>177</v>
      </c>
      <c r="F431">
        <v>40</v>
      </c>
      <c r="G431">
        <v>2.9</v>
      </c>
      <c r="H431">
        <v>116</v>
      </c>
    </row>
    <row r="432" spans="1:8" x14ac:dyDescent="0.25">
      <c r="A432" t="s">
        <v>614</v>
      </c>
      <c r="B432" t="s">
        <v>616</v>
      </c>
      <c r="C432" t="s">
        <v>312</v>
      </c>
      <c r="D432" t="s">
        <v>106</v>
      </c>
      <c r="E432" t="s">
        <v>177</v>
      </c>
      <c r="F432">
        <v>40</v>
      </c>
      <c r="G432">
        <v>3</v>
      </c>
      <c r="H432">
        <v>120</v>
      </c>
    </row>
    <row r="433" spans="1:8" x14ac:dyDescent="0.25">
      <c r="A433" t="s">
        <v>625</v>
      </c>
      <c r="B433" t="s">
        <v>627</v>
      </c>
      <c r="C433" t="s">
        <v>61</v>
      </c>
      <c r="D433" t="s">
        <v>19</v>
      </c>
      <c r="E433" t="s">
        <v>372</v>
      </c>
      <c r="F433">
        <v>30</v>
      </c>
      <c r="G433">
        <v>3.9</v>
      </c>
      <c r="H433">
        <v>117</v>
      </c>
    </row>
    <row r="434" spans="1:8" x14ac:dyDescent="0.25">
      <c r="A434" t="s">
        <v>628</v>
      </c>
      <c r="B434" t="s">
        <v>629</v>
      </c>
      <c r="C434" t="s">
        <v>61</v>
      </c>
      <c r="D434" t="s">
        <v>19</v>
      </c>
      <c r="E434" t="s">
        <v>372</v>
      </c>
      <c r="F434">
        <v>30</v>
      </c>
      <c r="G434">
        <v>3.9</v>
      </c>
      <c r="H434">
        <v>117</v>
      </c>
    </row>
    <row r="435" spans="1:8" x14ac:dyDescent="0.25">
      <c r="A435" t="s">
        <v>630</v>
      </c>
      <c r="B435" t="s">
        <v>631</v>
      </c>
      <c r="C435" t="s">
        <v>61</v>
      </c>
      <c r="D435" t="s">
        <v>19</v>
      </c>
      <c r="E435" t="s">
        <v>376</v>
      </c>
      <c r="F435">
        <v>33</v>
      </c>
      <c r="G435">
        <v>4.2</v>
      </c>
      <c r="H435">
        <v>138.6</v>
      </c>
    </row>
    <row r="436" spans="1:8" x14ac:dyDescent="0.25">
      <c r="A436" t="s">
        <v>731</v>
      </c>
      <c r="B436" t="s">
        <v>733</v>
      </c>
      <c r="C436" t="s">
        <v>398</v>
      </c>
      <c r="D436" t="s">
        <v>19</v>
      </c>
      <c r="E436" t="s">
        <v>372</v>
      </c>
      <c r="F436">
        <v>30</v>
      </c>
      <c r="G436">
        <v>2.8</v>
      </c>
      <c r="H436">
        <v>84</v>
      </c>
    </row>
    <row r="437" spans="1:8" x14ac:dyDescent="0.25">
      <c r="A437" t="s">
        <v>448</v>
      </c>
      <c r="B437" t="s">
        <v>450</v>
      </c>
      <c r="C437" t="s">
        <v>26</v>
      </c>
      <c r="D437" t="s">
        <v>106</v>
      </c>
      <c r="E437" t="s">
        <v>17</v>
      </c>
      <c r="F437">
        <v>26.25</v>
      </c>
      <c r="G437">
        <v>3</v>
      </c>
      <c r="H437">
        <v>90</v>
      </c>
    </row>
    <row r="438" spans="1:8" x14ac:dyDescent="0.25">
      <c r="A438" t="s">
        <v>113</v>
      </c>
      <c r="B438" t="s">
        <v>115</v>
      </c>
      <c r="C438" t="s">
        <v>26</v>
      </c>
      <c r="D438" t="s">
        <v>19</v>
      </c>
      <c r="E438" t="s">
        <v>116</v>
      </c>
      <c r="F438">
        <v>27</v>
      </c>
      <c r="G438">
        <v>1.6</v>
      </c>
      <c r="H438">
        <v>96</v>
      </c>
    </row>
    <row r="439" spans="1:8" x14ac:dyDescent="0.25">
      <c r="A439" t="s">
        <v>120</v>
      </c>
      <c r="B439" t="s">
        <v>122</v>
      </c>
      <c r="C439" t="s">
        <v>26</v>
      </c>
      <c r="D439" t="s">
        <v>19</v>
      </c>
      <c r="E439" t="s">
        <v>116</v>
      </c>
      <c r="F439">
        <v>26</v>
      </c>
      <c r="G439">
        <v>1.75</v>
      </c>
      <c r="H439">
        <v>105</v>
      </c>
    </row>
    <row r="440" spans="1:8" x14ac:dyDescent="0.25">
      <c r="A440" t="s">
        <v>117</v>
      </c>
      <c r="B440" t="s">
        <v>119</v>
      </c>
      <c r="C440" t="s">
        <v>26</v>
      </c>
      <c r="D440" t="s">
        <v>19</v>
      </c>
      <c r="E440" t="s">
        <v>116</v>
      </c>
      <c r="F440">
        <v>27</v>
      </c>
      <c r="G440">
        <v>1.6</v>
      </c>
      <c r="H440">
        <v>96</v>
      </c>
    </row>
    <row r="441" spans="1:8" x14ac:dyDescent="0.25">
      <c r="A441" t="s">
        <v>152</v>
      </c>
      <c r="B441" t="s">
        <v>153</v>
      </c>
      <c r="C441" t="s">
        <v>18</v>
      </c>
      <c r="D441" t="s">
        <v>19</v>
      </c>
      <c r="E441" t="s">
        <v>17</v>
      </c>
      <c r="F441">
        <v>26.25</v>
      </c>
      <c r="G441">
        <v>3.2</v>
      </c>
      <c r="H441">
        <v>96</v>
      </c>
    </row>
    <row r="442" spans="1:8" x14ac:dyDescent="0.25">
      <c r="A442" t="s">
        <v>154</v>
      </c>
      <c r="B442" t="s">
        <v>155</v>
      </c>
      <c r="C442" t="s">
        <v>100</v>
      </c>
      <c r="D442" t="s">
        <v>19</v>
      </c>
      <c r="E442" t="s">
        <v>17</v>
      </c>
      <c r="F442">
        <v>26.25</v>
      </c>
      <c r="G442">
        <v>0</v>
      </c>
      <c r="H442">
        <v>0</v>
      </c>
    </row>
    <row r="443" spans="1:8" x14ac:dyDescent="0.25">
      <c r="A443" t="s">
        <v>147</v>
      </c>
      <c r="B443" t="s">
        <v>149</v>
      </c>
      <c r="C443" t="s">
        <v>18</v>
      </c>
      <c r="D443" t="s">
        <v>19</v>
      </c>
      <c r="E443" t="s">
        <v>151</v>
      </c>
      <c r="F443">
        <v>24</v>
      </c>
      <c r="G443">
        <v>0</v>
      </c>
      <c r="H443">
        <v>0</v>
      </c>
    </row>
    <row r="444" spans="1:8" x14ac:dyDescent="0.25">
      <c r="A444" t="s">
        <v>171</v>
      </c>
      <c r="B444" t="s">
        <v>172</v>
      </c>
      <c r="C444" t="s">
        <v>18</v>
      </c>
      <c r="D444" t="s">
        <v>19</v>
      </c>
      <c r="E444" t="s">
        <v>43</v>
      </c>
      <c r="F444">
        <v>30</v>
      </c>
      <c r="G444">
        <v>2.2000000000000002</v>
      </c>
      <c r="H444">
        <v>66</v>
      </c>
    </row>
    <row r="445" spans="1:8" x14ac:dyDescent="0.25">
      <c r="A445" t="s">
        <v>168</v>
      </c>
      <c r="B445" t="s">
        <v>170</v>
      </c>
      <c r="C445" t="s">
        <v>18</v>
      </c>
      <c r="D445" t="s">
        <v>19</v>
      </c>
      <c r="E445" t="s">
        <v>43</v>
      </c>
      <c r="F445">
        <v>30</v>
      </c>
      <c r="G445">
        <v>2.2000000000000002</v>
      </c>
      <c r="H445">
        <v>66</v>
      </c>
    </row>
    <row r="446" spans="1:8" x14ac:dyDescent="0.25">
      <c r="A446" t="s">
        <v>240</v>
      </c>
      <c r="B446" t="s">
        <v>241</v>
      </c>
      <c r="C446" t="s">
        <v>26</v>
      </c>
      <c r="D446" t="s">
        <v>106</v>
      </c>
      <c r="E446" t="s">
        <v>218</v>
      </c>
      <c r="F446">
        <v>20</v>
      </c>
      <c r="G446">
        <v>2.2000000000000002</v>
      </c>
      <c r="H446">
        <v>44</v>
      </c>
    </row>
    <row r="447" spans="1:8" x14ac:dyDescent="0.25">
      <c r="A447" t="s">
        <v>242</v>
      </c>
      <c r="B447" t="s">
        <v>243</v>
      </c>
      <c r="C447" t="s">
        <v>26</v>
      </c>
      <c r="D447" t="s">
        <v>106</v>
      </c>
      <c r="E447" t="s">
        <v>218</v>
      </c>
      <c r="F447">
        <v>20</v>
      </c>
      <c r="G447">
        <v>2.1</v>
      </c>
      <c r="H447">
        <v>42</v>
      </c>
    </row>
    <row r="448" spans="1:8" x14ac:dyDescent="0.25">
      <c r="A448" t="s">
        <v>236</v>
      </c>
      <c r="B448" t="s">
        <v>238</v>
      </c>
      <c r="C448" t="s">
        <v>26</v>
      </c>
      <c r="D448" t="s">
        <v>106</v>
      </c>
      <c r="E448" t="s">
        <v>239</v>
      </c>
      <c r="F448">
        <v>10</v>
      </c>
      <c r="G448">
        <v>2.5</v>
      </c>
      <c r="H448">
        <v>25</v>
      </c>
    </row>
    <row r="449" spans="1:8" x14ac:dyDescent="0.25">
      <c r="A449" t="s">
        <v>244</v>
      </c>
      <c r="B449" t="s">
        <v>245</v>
      </c>
      <c r="C449" t="s">
        <v>26</v>
      </c>
      <c r="D449" t="s">
        <v>106</v>
      </c>
      <c r="E449" t="s">
        <v>218</v>
      </c>
      <c r="F449">
        <v>20</v>
      </c>
      <c r="G449">
        <v>1.55</v>
      </c>
      <c r="H449">
        <v>31</v>
      </c>
    </row>
    <row r="450" spans="1:8" x14ac:dyDescent="0.25">
      <c r="A450" t="s">
        <v>224</v>
      </c>
      <c r="B450" t="s">
        <v>226</v>
      </c>
      <c r="C450" t="s">
        <v>227</v>
      </c>
      <c r="D450" t="s">
        <v>106</v>
      </c>
      <c r="E450" t="s">
        <v>904</v>
      </c>
      <c r="F450">
        <v>24</v>
      </c>
      <c r="G450">
        <v>4.75</v>
      </c>
      <c r="H450">
        <v>114</v>
      </c>
    </row>
    <row r="451" spans="1:8" x14ac:dyDescent="0.25">
      <c r="A451" t="s">
        <v>215</v>
      </c>
      <c r="B451" t="s">
        <v>217</v>
      </c>
      <c r="C451" t="s">
        <v>219</v>
      </c>
      <c r="D451" t="s">
        <v>106</v>
      </c>
      <c r="E451" t="s">
        <v>218</v>
      </c>
      <c r="F451">
        <v>20</v>
      </c>
      <c r="G451">
        <v>3</v>
      </c>
      <c r="H451">
        <v>60</v>
      </c>
    </row>
    <row r="452" spans="1:8" x14ac:dyDescent="0.25">
      <c r="A452" t="s">
        <v>220</v>
      </c>
      <c r="B452" t="s">
        <v>222</v>
      </c>
      <c r="C452" t="s">
        <v>18</v>
      </c>
      <c r="D452" t="s">
        <v>106</v>
      </c>
      <c r="E452" t="s">
        <v>223</v>
      </c>
      <c r="F452">
        <v>20</v>
      </c>
      <c r="G452">
        <v>1.7</v>
      </c>
      <c r="H452">
        <v>34</v>
      </c>
    </row>
    <row r="453" spans="1:8" x14ac:dyDescent="0.25">
      <c r="A453" t="s">
        <v>264</v>
      </c>
      <c r="B453" t="s">
        <v>266</v>
      </c>
      <c r="C453" t="s">
        <v>26</v>
      </c>
      <c r="D453" t="s">
        <v>106</v>
      </c>
      <c r="E453" t="s">
        <v>151</v>
      </c>
      <c r="F453">
        <v>24</v>
      </c>
      <c r="G453">
        <v>3.7</v>
      </c>
      <c r="H453">
        <v>88.8</v>
      </c>
    </row>
    <row r="454" spans="1:8" x14ac:dyDescent="0.25">
      <c r="A454" t="s">
        <v>291</v>
      </c>
      <c r="B454" t="s">
        <v>293</v>
      </c>
      <c r="C454" t="s">
        <v>26</v>
      </c>
      <c r="D454" t="s">
        <v>19</v>
      </c>
      <c r="E454" t="s">
        <v>294</v>
      </c>
      <c r="F454">
        <v>30</v>
      </c>
      <c r="G454">
        <v>3.5</v>
      </c>
      <c r="H454">
        <v>105</v>
      </c>
    </row>
    <row r="455" spans="1:8" x14ac:dyDescent="0.25">
      <c r="A455" t="s">
        <v>287</v>
      </c>
      <c r="B455" t="s">
        <v>289</v>
      </c>
      <c r="C455" t="s">
        <v>290</v>
      </c>
      <c r="D455" t="s">
        <v>19</v>
      </c>
      <c r="E455" t="s">
        <v>37</v>
      </c>
      <c r="F455">
        <v>22</v>
      </c>
      <c r="G455">
        <v>3.8</v>
      </c>
      <c r="H455">
        <v>83.6</v>
      </c>
    </row>
    <row r="456" spans="1:8" x14ac:dyDescent="0.25">
      <c r="A456" t="s">
        <v>281</v>
      </c>
      <c r="B456" t="s">
        <v>283</v>
      </c>
      <c r="C456" t="s">
        <v>61</v>
      </c>
      <c r="D456" t="s">
        <v>19</v>
      </c>
      <c r="E456" t="s">
        <v>284</v>
      </c>
      <c r="F456">
        <v>22.5</v>
      </c>
      <c r="G456">
        <v>3</v>
      </c>
      <c r="H456">
        <v>90</v>
      </c>
    </row>
    <row r="457" spans="1:8" x14ac:dyDescent="0.25">
      <c r="A457" t="s">
        <v>261</v>
      </c>
      <c r="B457" t="s">
        <v>263</v>
      </c>
      <c r="C457" t="s">
        <v>61</v>
      </c>
      <c r="D457" t="s">
        <v>19</v>
      </c>
      <c r="E457" t="s">
        <v>90</v>
      </c>
      <c r="F457">
        <v>30</v>
      </c>
      <c r="G457">
        <v>2.6</v>
      </c>
      <c r="H457">
        <v>78</v>
      </c>
    </row>
    <row r="458" spans="1:8" x14ac:dyDescent="0.25">
      <c r="A458" t="s">
        <v>275</v>
      </c>
      <c r="B458" t="s">
        <v>277</v>
      </c>
      <c r="C458" t="s">
        <v>26</v>
      </c>
      <c r="D458" t="s">
        <v>19</v>
      </c>
      <c r="E458" t="s">
        <v>274</v>
      </c>
      <c r="F458">
        <v>24</v>
      </c>
      <c r="G458">
        <v>4</v>
      </c>
      <c r="H458">
        <v>96</v>
      </c>
    </row>
    <row r="459" spans="1:8" x14ac:dyDescent="0.25">
      <c r="A459" t="s">
        <v>271</v>
      </c>
      <c r="B459" t="s">
        <v>273</v>
      </c>
      <c r="C459" t="s">
        <v>26</v>
      </c>
      <c r="D459" t="s">
        <v>19</v>
      </c>
      <c r="E459" t="s">
        <v>274</v>
      </c>
      <c r="F459">
        <v>24</v>
      </c>
      <c r="G459">
        <v>4</v>
      </c>
      <c r="H459">
        <v>96</v>
      </c>
    </row>
    <row r="460" spans="1:8" x14ac:dyDescent="0.25">
      <c r="A460" t="s">
        <v>246</v>
      </c>
      <c r="B460" t="s">
        <v>248</v>
      </c>
      <c r="C460" t="s">
        <v>18</v>
      </c>
      <c r="D460" t="s">
        <v>106</v>
      </c>
      <c r="E460" t="s">
        <v>249</v>
      </c>
      <c r="F460">
        <v>15</v>
      </c>
      <c r="G460">
        <v>6</v>
      </c>
      <c r="H460">
        <v>180</v>
      </c>
    </row>
    <row r="461" spans="1:8" x14ac:dyDescent="0.25">
      <c r="A461" t="s">
        <v>250</v>
      </c>
      <c r="B461" t="s">
        <v>251</v>
      </c>
      <c r="C461" t="s">
        <v>18</v>
      </c>
      <c r="D461" t="s">
        <v>106</v>
      </c>
      <c r="E461" t="s">
        <v>249</v>
      </c>
      <c r="F461">
        <v>15</v>
      </c>
      <c r="G461">
        <v>7</v>
      </c>
      <c r="H461">
        <v>210</v>
      </c>
    </row>
    <row r="462" spans="1:8" x14ac:dyDescent="0.25">
      <c r="A462" t="s">
        <v>858</v>
      </c>
      <c r="B462" t="s">
        <v>860</v>
      </c>
      <c r="C462" t="s">
        <v>26</v>
      </c>
      <c r="D462" t="s">
        <v>106</v>
      </c>
      <c r="E462" t="s">
        <v>861</v>
      </c>
      <c r="F462">
        <v>36</v>
      </c>
      <c r="G462">
        <v>2</v>
      </c>
      <c r="H462">
        <v>48</v>
      </c>
    </row>
    <row r="463" spans="1:8" x14ac:dyDescent="0.25">
      <c r="A463" t="s">
        <v>875</v>
      </c>
      <c r="B463" t="s">
        <v>877</v>
      </c>
      <c r="C463" t="s">
        <v>26</v>
      </c>
      <c r="D463" t="s">
        <v>106</v>
      </c>
      <c r="E463" t="s">
        <v>861</v>
      </c>
      <c r="F463">
        <v>48</v>
      </c>
      <c r="G463">
        <v>1.85</v>
      </c>
      <c r="H463">
        <v>44.4</v>
      </c>
    </row>
    <row r="464" spans="1:8" x14ac:dyDescent="0.25">
      <c r="A464" t="s">
        <v>865</v>
      </c>
      <c r="B464" t="s">
        <v>867</v>
      </c>
      <c r="C464" t="s">
        <v>26</v>
      </c>
      <c r="D464" t="s">
        <v>106</v>
      </c>
      <c r="E464" t="s">
        <v>43</v>
      </c>
      <c r="F464">
        <v>30</v>
      </c>
      <c r="G464">
        <v>1.9</v>
      </c>
      <c r="H464">
        <v>57</v>
      </c>
    </row>
    <row r="479" spans="1:8" x14ac:dyDescent="0.25">
      <c r="A479" t="s">
        <v>862</v>
      </c>
      <c r="B479" t="s">
        <v>867</v>
      </c>
      <c r="C479" t="s">
        <v>965</v>
      </c>
      <c r="D479" t="s">
        <v>106</v>
      </c>
      <c r="E479" t="s">
        <v>43</v>
      </c>
      <c r="F479">
        <v>30</v>
      </c>
      <c r="G479">
        <v>1.8</v>
      </c>
      <c r="H479">
        <v>54</v>
      </c>
    </row>
    <row r="480" spans="1:8" x14ac:dyDescent="0.25">
      <c r="A480" t="s">
        <v>837</v>
      </c>
      <c r="B480" t="s">
        <v>839</v>
      </c>
      <c r="C480" t="s">
        <v>26</v>
      </c>
      <c r="D480" t="s">
        <v>106</v>
      </c>
      <c r="E480" t="s">
        <v>43</v>
      </c>
      <c r="F480">
        <v>30</v>
      </c>
      <c r="G480">
        <v>1.5</v>
      </c>
      <c r="H480">
        <v>45</v>
      </c>
    </row>
    <row r="481" spans="1:8" x14ac:dyDescent="0.25">
      <c r="A481" t="s">
        <v>840</v>
      </c>
      <c r="B481" t="s">
        <v>842</v>
      </c>
      <c r="C481" t="s">
        <v>26</v>
      </c>
      <c r="D481" t="s">
        <v>106</v>
      </c>
      <c r="E481" t="s">
        <v>43</v>
      </c>
      <c r="F481">
        <v>30</v>
      </c>
      <c r="G481">
        <v>1.55</v>
      </c>
      <c r="H481">
        <v>46.5</v>
      </c>
    </row>
    <row r="482" spans="1:8" x14ac:dyDescent="0.25">
      <c r="A482" t="s">
        <v>317</v>
      </c>
      <c r="B482" t="s">
        <v>319</v>
      </c>
      <c r="C482" t="s">
        <v>26</v>
      </c>
      <c r="D482" t="s">
        <v>106</v>
      </c>
      <c r="E482" t="s">
        <v>320</v>
      </c>
      <c r="F482">
        <v>40</v>
      </c>
      <c r="G482">
        <v>1.2</v>
      </c>
      <c r="H482">
        <v>48</v>
      </c>
    </row>
    <row r="483" spans="1:8" x14ac:dyDescent="0.25">
      <c r="A483" t="s">
        <v>323</v>
      </c>
      <c r="B483" t="s">
        <v>324</v>
      </c>
      <c r="C483" t="s">
        <v>26</v>
      </c>
      <c r="D483" t="s">
        <v>106</v>
      </c>
      <c r="E483" t="s">
        <v>320</v>
      </c>
      <c r="F483">
        <v>40</v>
      </c>
      <c r="G483">
        <v>1.2</v>
      </c>
      <c r="H483">
        <v>48</v>
      </c>
    </row>
    <row r="484" spans="1:8" x14ac:dyDescent="0.25">
      <c r="A484" t="s">
        <v>317</v>
      </c>
      <c r="B484" t="s">
        <v>321</v>
      </c>
      <c r="C484" t="s">
        <v>322</v>
      </c>
      <c r="D484" t="s">
        <v>106</v>
      </c>
      <c r="E484" t="s">
        <v>320</v>
      </c>
      <c r="F484">
        <v>40</v>
      </c>
      <c r="G484">
        <v>1.2</v>
      </c>
      <c r="H484">
        <v>48</v>
      </c>
    </row>
    <row r="485" spans="1:8" x14ac:dyDescent="0.25">
      <c r="A485" t="s">
        <v>323</v>
      </c>
      <c r="B485" t="s">
        <v>325</v>
      </c>
      <c r="C485" t="s">
        <v>322</v>
      </c>
      <c r="D485" t="s">
        <v>106</v>
      </c>
      <c r="E485" t="s">
        <v>320</v>
      </c>
      <c r="F485">
        <v>40</v>
      </c>
      <c r="G485">
        <v>1.2</v>
      </c>
      <c r="H485">
        <v>48</v>
      </c>
    </row>
    <row r="486" spans="1:8" x14ac:dyDescent="0.25">
      <c r="A486" t="s">
        <v>331</v>
      </c>
      <c r="B486" t="s">
        <v>332</v>
      </c>
      <c r="C486" t="s">
        <v>18</v>
      </c>
      <c r="D486" t="s">
        <v>106</v>
      </c>
      <c r="E486" t="s">
        <v>333</v>
      </c>
      <c r="F486">
        <v>30</v>
      </c>
      <c r="G486">
        <v>1.75</v>
      </c>
      <c r="H486">
        <v>52.5</v>
      </c>
    </row>
    <row r="544" spans="1:8" x14ac:dyDescent="0.25">
      <c r="A544" t="s">
        <v>919</v>
      </c>
      <c r="C544" t="s">
        <v>920</v>
      </c>
      <c r="D544" t="s">
        <v>921</v>
      </c>
      <c r="G544" t="s">
        <v>922</v>
      </c>
      <c r="H544" t="s">
        <v>966</v>
      </c>
    </row>
    <row r="545" spans="1:8" x14ac:dyDescent="0.25">
      <c r="A545" t="s">
        <v>924</v>
      </c>
      <c r="C545" t="s">
        <v>925</v>
      </c>
      <c r="D545" t="s">
        <v>926</v>
      </c>
      <c r="G545" t="s">
        <v>927</v>
      </c>
      <c r="H545" t="s">
        <v>928</v>
      </c>
    </row>
    <row r="547" spans="1:8" x14ac:dyDescent="0.25">
      <c r="A547" t="s">
        <v>929</v>
      </c>
      <c r="B547" t="s">
        <v>930</v>
      </c>
      <c r="C547" t="s">
        <v>931</v>
      </c>
      <c r="D547" t="s">
        <v>932</v>
      </c>
      <c r="E547" t="s">
        <v>933</v>
      </c>
      <c r="F547" t="s">
        <v>934</v>
      </c>
      <c r="G547" t="s">
        <v>935</v>
      </c>
      <c r="H547" t="s">
        <v>936</v>
      </c>
    </row>
    <row r="549" spans="1:8" x14ac:dyDescent="0.25">
      <c r="A549" t="s">
        <v>334</v>
      </c>
      <c r="B549" t="s">
        <v>335</v>
      </c>
      <c r="C549" t="s">
        <v>18</v>
      </c>
      <c r="D549" t="s">
        <v>106</v>
      </c>
      <c r="E549" t="s">
        <v>177</v>
      </c>
      <c r="F549">
        <v>40</v>
      </c>
      <c r="G549">
        <v>1.35</v>
      </c>
      <c r="H549">
        <v>54</v>
      </c>
    </row>
    <row r="550" spans="1:8" x14ac:dyDescent="0.25">
      <c r="A550" t="s">
        <v>336</v>
      </c>
      <c r="B550" t="s">
        <v>337</v>
      </c>
      <c r="C550" t="s">
        <v>18</v>
      </c>
      <c r="D550" t="s">
        <v>106</v>
      </c>
      <c r="E550" t="s">
        <v>177</v>
      </c>
      <c r="F550">
        <v>40</v>
      </c>
      <c r="G550">
        <v>1.35</v>
      </c>
      <c r="H550">
        <v>54</v>
      </c>
    </row>
    <row r="551" spans="1:8" x14ac:dyDescent="0.25">
      <c r="A551" t="s">
        <v>338</v>
      </c>
      <c r="B551" t="s">
        <v>339</v>
      </c>
      <c r="C551" t="s">
        <v>18</v>
      </c>
      <c r="D551" t="s">
        <v>106</v>
      </c>
      <c r="E551" t="s">
        <v>177</v>
      </c>
      <c r="F551">
        <v>40</v>
      </c>
      <c r="G551">
        <v>1.47</v>
      </c>
      <c r="H551">
        <v>58.8</v>
      </c>
    </row>
    <row r="552" spans="1:8" x14ac:dyDescent="0.25">
      <c r="A552" t="s">
        <v>326</v>
      </c>
      <c r="B552" t="s">
        <v>339</v>
      </c>
      <c r="C552" t="s">
        <v>967</v>
      </c>
      <c r="D552" t="s">
        <v>106</v>
      </c>
      <c r="E552" t="s">
        <v>177</v>
      </c>
      <c r="F552">
        <v>40</v>
      </c>
      <c r="G552">
        <v>1.47</v>
      </c>
      <c r="H552">
        <v>58.8</v>
      </c>
    </row>
    <row r="553" spans="1:8" x14ac:dyDescent="0.25">
      <c r="A553" t="s">
        <v>329</v>
      </c>
      <c r="B553" t="s">
        <v>339</v>
      </c>
      <c r="C553" t="s">
        <v>968</v>
      </c>
      <c r="D553" t="s">
        <v>106</v>
      </c>
      <c r="E553" t="s">
        <v>177</v>
      </c>
      <c r="F553">
        <v>40</v>
      </c>
      <c r="G553">
        <v>1.47</v>
      </c>
      <c r="H553">
        <v>58.8</v>
      </c>
    </row>
    <row r="554" spans="1:8" x14ac:dyDescent="0.25">
      <c r="A554" t="s">
        <v>340</v>
      </c>
      <c r="B554" t="s">
        <v>342</v>
      </c>
      <c r="C554" t="s">
        <v>312</v>
      </c>
      <c r="D554" t="s">
        <v>106</v>
      </c>
      <c r="E554" t="s">
        <v>177</v>
      </c>
      <c r="F554">
        <v>40</v>
      </c>
      <c r="G554">
        <v>1.5</v>
      </c>
      <c r="H554">
        <v>60</v>
      </c>
    </row>
    <row r="555" spans="1:8" x14ac:dyDescent="0.25">
      <c r="A555" t="s">
        <v>343</v>
      </c>
      <c r="B555" t="s">
        <v>344</v>
      </c>
      <c r="C555" t="s">
        <v>312</v>
      </c>
      <c r="D555" t="s">
        <v>106</v>
      </c>
      <c r="E555" t="s">
        <v>177</v>
      </c>
      <c r="F555">
        <v>40</v>
      </c>
      <c r="G555">
        <v>1.6</v>
      </c>
      <c r="H555">
        <v>64</v>
      </c>
    </row>
    <row r="556" spans="1:8" x14ac:dyDescent="0.25">
      <c r="A556" t="s">
        <v>303</v>
      </c>
      <c r="B556" t="s">
        <v>304</v>
      </c>
      <c r="C556" t="s">
        <v>18</v>
      </c>
      <c r="D556" t="s">
        <v>106</v>
      </c>
      <c r="E556" t="s">
        <v>299</v>
      </c>
      <c r="F556">
        <v>10</v>
      </c>
      <c r="G556">
        <v>2.25</v>
      </c>
      <c r="H556">
        <v>22.5</v>
      </c>
    </row>
    <row r="557" spans="1:8" x14ac:dyDescent="0.25">
      <c r="A557" t="s">
        <v>305</v>
      </c>
      <c r="B557" t="s">
        <v>306</v>
      </c>
      <c r="C557" t="s">
        <v>18</v>
      </c>
      <c r="D557" t="s">
        <v>106</v>
      </c>
      <c r="E557" t="s">
        <v>299</v>
      </c>
      <c r="F557">
        <v>10</v>
      </c>
      <c r="G557">
        <v>2.35</v>
      </c>
      <c r="H557">
        <v>23.5</v>
      </c>
    </row>
    <row r="558" spans="1:8" x14ac:dyDescent="0.25">
      <c r="A558" t="s">
        <v>307</v>
      </c>
      <c r="B558" t="s">
        <v>308</v>
      </c>
      <c r="C558" t="s">
        <v>18</v>
      </c>
      <c r="D558" t="s">
        <v>106</v>
      </c>
      <c r="E558" t="s">
        <v>299</v>
      </c>
      <c r="F558">
        <v>10</v>
      </c>
      <c r="G558">
        <v>2.4</v>
      </c>
      <c r="H558">
        <v>24</v>
      </c>
    </row>
    <row r="559" spans="1:8" x14ac:dyDescent="0.25">
      <c r="A559" t="s">
        <v>315</v>
      </c>
      <c r="B559" t="s">
        <v>316</v>
      </c>
      <c r="C559" t="s">
        <v>18</v>
      </c>
      <c r="D559" t="s">
        <v>106</v>
      </c>
      <c r="E559" t="s">
        <v>218</v>
      </c>
      <c r="F559">
        <v>20</v>
      </c>
      <c r="G559">
        <v>2.5</v>
      </c>
      <c r="H559">
        <v>50</v>
      </c>
    </row>
    <row r="560" spans="1:8" x14ac:dyDescent="0.25">
      <c r="A560" t="s">
        <v>296</v>
      </c>
      <c r="B560" t="s">
        <v>298</v>
      </c>
      <c r="C560" t="s">
        <v>18</v>
      </c>
      <c r="D560" t="s">
        <v>106</v>
      </c>
      <c r="E560" t="s">
        <v>299</v>
      </c>
      <c r="F560">
        <v>10</v>
      </c>
      <c r="G560">
        <v>2.2000000000000002</v>
      </c>
      <c r="H560">
        <v>22</v>
      </c>
    </row>
    <row r="561" spans="1:8" x14ac:dyDescent="0.25">
      <c r="A561" t="s">
        <v>301</v>
      </c>
      <c r="B561" t="s">
        <v>302</v>
      </c>
      <c r="C561" t="s">
        <v>18</v>
      </c>
      <c r="D561" t="s">
        <v>106</v>
      </c>
      <c r="E561" t="s">
        <v>299</v>
      </c>
      <c r="F561">
        <v>10</v>
      </c>
      <c r="G561">
        <v>2.25</v>
      </c>
      <c r="H561">
        <v>22.5</v>
      </c>
    </row>
    <row r="562" spans="1:8" x14ac:dyDescent="0.25">
      <c r="A562" t="s">
        <v>192</v>
      </c>
      <c r="B562" t="s">
        <v>194</v>
      </c>
      <c r="C562" t="s">
        <v>18</v>
      </c>
      <c r="D562" t="s">
        <v>106</v>
      </c>
      <c r="E562" t="s">
        <v>195</v>
      </c>
      <c r="F562">
        <v>30</v>
      </c>
      <c r="G562">
        <v>4.8</v>
      </c>
      <c r="H562">
        <v>144</v>
      </c>
    </row>
    <row r="563" spans="1:8" x14ac:dyDescent="0.25">
      <c r="A563" t="s">
        <v>199</v>
      </c>
      <c r="B563" t="s">
        <v>200</v>
      </c>
      <c r="C563" t="s">
        <v>18</v>
      </c>
      <c r="D563" t="s">
        <v>106</v>
      </c>
      <c r="E563" t="s">
        <v>195</v>
      </c>
      <c r="F563">
        <v>30</v>
      </c>
      <c r="G563">
        <v>5.2</v>
      </c>
      <c r="H563">
        <v>156</v>
      </c>
    </row>
    <row r="564" spans="1:8" x14ac:dyDescent="0.25">
      <c r="A564" t="s">
        <v>205</v>
      </c>
      <c r="B564" t="s">
        <v>206</v>
      </c>
      <c r="C564" t="s">
        <v>18</v>
      </c>
      <c r="D564" t="s">
        <v>106</v>
      </c>
      <c r="E564" t="s">
        <v>195</v>
      </c>
      <c r="F564">
        <v>30</v>
      </c>
      <c r="G564">
        <v>4.9000000000000004</v>
      </c>
      <c r="H564">
        <v>147</v>
      </c>
    </row>
    <row r="565" spans="1:8" x14ac:dyDescent="0.25">
      <c r="A565" t="s">
        <v>209</v>
      </c>
      <c r="B565" t="s">
        <v>210</v>
      </c>
      <c r="C565" t="s">
        <v>18</v>
      </c>
      <c r="D565" t="s">
        <v>106</v>
      </c>
      <c r="E565" t="s">
        <v>195</v>
      </c>
      <c r="F565">
        <v>30</v>
      </c>
      <c r="G565">
        <v>4.9000000000000004</v>
      </c>
      <c r="H565">
        <v>147</v>
      </c>
    </row>
    <row r="566" spans="1:8" x14ac:dyDescent="0.25">
      <c r="A566" t="s">
        <v>201</v>
      </c>
      <c r="B566" t="s">
        <v>202</v>
      </c>
      <c r="C566" t="s">
        <v>18</v>
      </c>
      <c r="D566" t="s">
        <v>106</v>
      </c>
      <c r="E566" t="s">
        <v>43</v>
      </c>
      <c r="F566">
        <v>30</v>
      </c>
      <c r="G566">
        <v>6</v>
      </c>
      <c r="H566">
        <v>180</v>
      </c>
    </row>
    <row r="567" spans="1:8" x14ac:dyDescent="0.25">
      <c r="A567" t="s">
        <v>211</v>
      </c>
      <c r="B567" t="s">
        <v>212</v>
      </c>
      <c r="C567" t="s">
        <v>18</v>
      </c>
      <c r="D567" t="s">
        <v>106</v>
      </c>
      <c r="E567" t="s">
        <v>213</v>
      </c>
      <c r="F567">
        <v>22</v>
      </c>
      <c r="G567">
        <v>4</v>
      </c>
      <c r="H567">
        <v>88</v>
      </c>
    </row>
    <row r="568" spans="1:8" x14ac:dyDescent="0.25">
      <c r="A568" t="s">
        <v>196</v>
      </c>
      <c r="B568" t="s">
        <v>198</v>
      </c>
      <c r="C568" t="s">
        <v>26</v>
      </c>
      <c r="D568" t="s">
        <v>106</v>
      </c>
      <c r="E568" t="s">
        <v>195</v>
      </c>
      <c r="F568">
        <v>30</v>
      </c>
      <c r="G568">
        <v>0</v>
      </c>
      <c r="H568">
        <v>0</v>
      </c>
    </row>
    <row r="569" spans="1:8" x14ac:dyDescent="0.25">
      <c r="A569" t="s">
        <v>203</v>
      </c>
      <c r="B569" t="s">
        <v>204</v>
      </c>
      <c r="C569" t="s">
        <v>26</v>
      </c>
      <c r="D569" t="s">
        <v>106</v>
      </c>
      <c r="E569" t="s">
        <v>195</v>
      </c>
      <c r="F569">
        <v>30</v>
      </c>
      <c r="G569">
        <v>0</v>
      </c>
      <c r="H569">
        <v>0</v>
      </c>
    </row>
    <row r="570" spans="1:8" x14ac:dyDescent="0.25">
      <c r="A570" t="s">
        <v>207</v>
      </c>
      <c r="B570" t="s">
        <v>208</v>
      </c>
      <c r="C570" t="s">
        <v>26</v>
      </c>
      <c r="D570" t="s">
        <v>106</v>
      </c>
      <c r="E570" t="s">
        <v>195</v>
      </c>
      <c r="F570">
        <v>30</v>
      </c>
      <c r="G570">
        <v>0</v>
      </c>
      <c r="H570">
        <v>0</v>
      </c>
    </row>
    <row r="571" spans="1:8" x14ac:dyDescent="0.25">
      <c r="A571" t="s">
        <v>761</v>
      </c>
      <c r="B571" t="s">
        <v>763</v>
      </c>
      <c r="C571" t="s">
        <v>38</v>
      </c>
      <c r="D571" t="s">
        <v>106</v>
      </c>
      <c r="E571" t="s">
        <v>764</v>
      </c>
      <c r="F571">
        <v>24</v>
      </c>
      <c r="G571">
        <v>13.4</v>
      </c>
      <c r="H571">
        <v>321.60000000000002</v>
      </c>
    </row>
    <row r="572" spans="1:8" x14ac:dyDescent="0.25">
      <c r="A572" t="s">
        <v>757</v>
      </c>
      <c r="B572" t="s">
        <v>759</v>
      </c>
      <c r="C572" t="s">
        <v>38</v>
      </c>
      <c r="D572" t="s">
        <v>106</v>
      </c>
      <c r="E572" t="s">
        <v>760</v>
      </c>
      <c r="F572">
        <v>9</v>
      </c>
      <c r="G572">
        <v>1.6</v>
      </c>
      <c r="H572">
        <v>57.6</v>
      </c>
    </row>
    <row r="573" spans="1:8" x14ac:dyDescent="0.25">
      <c r="A573" t="s">
        <v>162</v>
      </c>
      <c r="B573" t="s">
        <v>164</v>
      </c>
      <c r="C573" t="s">
        <v>26</v>
      </c>
      <c r="D573" t="s">
        <v>19</v>
      </c>
      <c r="E573" t="s">
        <v>160</v>
      </c>
      <c r="F573">
        <v>18</v>
      </c>
      <c r="G573">
        <v>5.8</v>
      </c>
      <c r="H573">
        <v>139.19999999999999</v>
      </c>
    </row>
    <row r="574" spans="1:8" x14ac:dyDescent="0.25">
      <c r="A574" t="s">
        <v>157</v>
      </c>
      <c r="B574" t="s">
        <v>159</v>
      </c>
      <c r="C574" t="s">
        <v>26</v>
      </c>
      <c r="D574" t="s">
        <v>19</v>
      </c>
      <c r="E574" t="s">
        <v>160</v>
      </c>
      <c r="F574">
        <v>20</v>
      </c>
      <c r="G574">
        <v>8.3000000000000007</v>
      </c>
      <c r="H574">
        <v>199.2</v>
      </c>
    </row>
    <row r="575" spans="1:8" x14ac:dyDescent="0.25">
      <c r="A575" t="s">
        <v>165</v>
      </c>
      <c r="B575" t="s">
        <v>167</v>
      </c>
      <c r="C575" t="s">
        <v>26</v>
      </c>
      <c r="D575" t="s">
        <v>19</v>
      </c>
      <c r="E575" t="s">
        <v>17</v>
      </c>
      <c r="F575">
        <v>26</v>
      </c>
      <c r="G575">
        <v>2.2999999999999998</v>
      </c>
      <c r="H575">
        <v>69</v>
      </c>
    </row>
    <row r="576" spans="1:8" x14ac:dyDescent="0.25">
      <c r="A576" t="s">
        <v>386</v>
      </c>
      <c r="B576" t="s">
        <v>388</v>
      </c>
      <c r="C576" t="s">
        <v>18</v>
      </c>
      <c r="D576" t="s">
        <v>19</v>
      </c>
      <c r="E576" t="s">
        <v>299</v>
      </c>
      <c r="F576">
        <v>10</v>
      </c>
      <c r="G576">
        <v>4.9000000000000004</v>
      </c>
      <c r="H576">
        <v>49</v>
      </c>
    </row>
    <row r="577" spans="1:8" x14ac:dyDescent="0.25">
      <c r="A577" t="s">
        <v>389</v>
      </c>
      <c r="B577" t="s">
        <v>390</v>
      </c>
      <c r="C577" t="s">
        <v>18</v>
      </c>
      <c r="D577" t="s">
        <v>19</v>
      </c>
      <c r="E577" t="s">
        <v>299</v>
      </c>
      <c r="F577">
        <v>10</v>
      </c>
      <c r="G577">
        <v>4.9000000000000004</v>
      </c>
      <c r="H577">
        <v>49</v>
      </c>
    </row>
    <row r="578" spans="1:8" x14ac:dyDescent="0.25">
      <c r="A578" t="s">
        <v>391</v>
      </c>
      <c r="B578" t="s">
        <v>392</v>
      </c>
      <c r="C578" t="s">
        <v>18</v>
      </c>
      <c r="D578" t="s">
        <v>19</v>
      </c>
      <c r="E578" t="s">
        <v>299</v>
      </c>
      <c r="F578">
        <v>10</v>
      </c>
      <c r="G578">
        <v>4.9000000000000004</v>
      </c>
      <c r="H578">
        <v>49</v>
      </c>
    </row>
    <row r="579" spans="1:8" x14ac:dyDescent="0.25">
      <c r="A579" t="s">
        <v>350</v>
      </c>
      <c r="B579" t="s">
        <v>352</v>
      </c>
      <c r="C579" t="s">
        <v>18</v>
      </c>
      <c r="D579" t="s">
        <v>106</v>
      </c>
      <c r="E579" t="s">
        <v>353</v>
      </c>
      <c r="F579">
        <v>15</v>
      </c>
      <c r="G579">
        <v>3.65</v>
      </c>
      <c r="H579">
        <v>54.75</v>
      </c>
    </row>
    <row r="580" spans="1:8" x14ac:dyDescent="0.25">
      <c r="A580" t="s">
        <v>354</v>
      </c>
      <c r="B580" t="s">
        <v>355</v>
      </c>
      <c r="C580" t="s">
        <v>18</v>
      </c>
      <c r="D580" t="s">
        <v>106</v>
      </c>
      <c r="E580" t="s">
        <v>353</v>
      </c>
      <c r="F580">
        <v>15</v>
      </c>
      <c r="G580">
        <v>3.85</v>
      </c>
      <c r="H580">
        <v>57.75</v>
      </c>
    </row>
    <row r="581" spans="1:8" x14ac:dyDescent="0.25">
      <c r="A581" t="s">
        <v>381</v>
      </c>
      <c r="B581" t="s">
        <v>383</v>
      </c>
      <c r="C581" t="s">
        <v>38</v>
      </c>
      <c r="D581" t="s">
        <v>19</v>
      </c>
      <c r="E581" t="s">
        <v>299</v>
      </c>
      <c r="F581">
        <v>10</v>
      </c>
      <c r="G581">
        <v>3.9</v>
      </c>
      <c r="H581">
        <v>39</v>
      </c>
    </row>
    <row r="582" spans="1:8" x14ac:dyDescent="0.25">
      <c r="A582" t="s">
        <v>384</v>
      </c>
      <c r="B582" t="s">
        <v>385</v>
      </c>
      <c r="C582" t="s">
        <v>38</v>
      </c>
      <c r="D582" t="s">
        <v>19</v>
      </c>
      <c r="E582" t="s">
        <v>299</v>
      </c>
      <c r="F582">
        <v>10</v>
      </c>
      <c r="G582">
        <v>3.9</v>
      </c>
      <c r="H582">
        <v>39</v>
      </c>
    </row>
    <row r="583" spans="1:8" x14ac:dyDescent="0.25">
      <c r="A583" t="s">
        <v>361</v>
      </c>
      <c r="B583" t="s">
        <v>362</v>
      </c>
      <c r="C583" t="s">
        <v>26</v>
      </c>
      <c r="D583" t="s">
        <v>106</v>
      </c>
      <c r="E583" t="s">
        <v>359</v>
      </c>
      <c r="F583">
        <v>22</v>
      </c>
      <c r="G583">
        <v>1.9</v>
      </c>
      <c r="H583">
        <v>41.8</v>
      </c>
    </row>
    <row r="584" spans="1:8" x14ac:dyDescent="0.25">
      <c r="A584" t="s">
        <v>356</v>
      </c>
      <c r="B584" t="s">
        <v>358</v>
      </c>
      <c r="C584" t="s">
        <v>26</v>
      </c>
      <c r="D584" t="s">
        <v>106</v>
      </c>
      <c r="E584" t="s">
        <v>359</v>
      </c>
      <c r="F584">
        <v>22</v>
      </c>
      <c r="G584">
        <v>1.9</v>
      </c>
      <c r="H584">
        <v>41.8</v>
      </c>
    </row>
    <row r="585" spans="1:8" x14ac:dyDescent="0.25">
      <c r="A585" t="s">
        <v>363</v>
      </c>
      <c r="B585" t="s">
        <v>364</v>
      </c>
      <c r="C585" t="s">
        <v>26</v>
      </c>
      <c r="D585" t="s">
        <v>106</v>
      </c>
      <c r="E585" t="s">
        <v>353</v>
      </c>
      <c r="F585">
        <v>15</v>
      </c>
      <c r="G585">
        <v>1.9</v>
      </c>
      <c r="H585">
        <v>28.5</v>
      </c>
    </row>
    <row r="586" spans="1:8" x14ac:dyDescent="0.25">
      <c r="A586" t="s">
        <v>365</v>
      </c>
      <c r="B586" t="s">
        <v>366</v>
      </c>
      <c r="C586" t="s">
        <v>26</v>
      </c>
      <c r="D586" t="s">
        <v>106</v>
      </c>
      <c r="E586" t="s">
        <v>353</v>
      </c>
      <c r="F586">
        <v>15</v>
      </c>
      <c r="G586">
        <v>1.9</v>
      </c>
      <c r="H586">
        <v>28.5</v>
      </c>
    </row>
    <row r="587" spans="1:8" x14ac:dyDescent="0.25">
      <c r="A587" t="s">
        <v>367</v>
      </c>
      <c r="B587" t="s">
        <v>368</v>
      </c>
      <c r="C587" t="s">
        <v>26</v>
      </c>
      <c r="D587" t="s">
        <v>106</v>
      </c>
      <c r="E587" t="s">
        <v>353</v>
      </c>
      <c r="F587">
        <v>15</v>
      </c>
      <c r="G587">
        <v>1.9</v>
      </c>
      <c r="H587">
        <v>28.5</v>
      </c>
    </row>
    <row r="588" spans="1:8" x14ac:dyDescent="0.25">
      <c r="A588" t="s">
        <v>130</v>
      </c>
      <c r="B588" t="s">
        <v>132</v>
      </c>
      <c r="C588" t="s">
        <v>127</v>
      </c>
      <c r="D588" t="s">
        <v>106</v>
      </c>
      <c r="E588" t="s">
        <v>133</v>
      </c>
      <c r="F588">
        <v>40</v>
      </c>
      <c r="G588">
        <v>3.6</v>
      </c>
      <c r="H588">
        <v>144</v>
      </c>
    </row>
    <row r="589" spans="1:8" x14ac:dyDescent="0.25">
      <c r="A589" t="s">
        <v>134</v>
      </c>
      <c r="B589" t="s">
        <v>135</v>
      </c>
      <c r="C589" t="s">
        <v>127</v>
      </c>
      <c r="D589" t="s">
        <v>106</v>
      </c>
      <c r="E589" t="s">
        <v>126</v>
      </c>
      <c r="F589">
        <v>40</v>
      </c>
      <c r="G589">
        <v>3.3</v>
      </c>
      <c r="H589">
        <v>132</v>
      </c>
    </row>
    <row r="590" spans="1:8" x14ac:dyDescent="0.25">
      <c r="A590" t="s">
        <v>144</v>
      </c>
      <c r="B590" t="s">
        <v>145</v>
      </c>
      <c r="C590" t="s">
        <v>127</v>
      </c>
      <c r="D590" t="s">
        <v>106</v>
      </c>
      <c r="E590" t="s">
        <v>139</v>
      </c>
      <c r="F590">
        <v>24</v>
      </c>
      <c r="G590">
        <v>3.4</v>
      </c>
      <c r="H590">
        <v>81.599999999999994</v>
      </c>
    </row>
    <row r="591" spans="1:8" x14ac:dyDescent="0.25">
      <c r="A591" t="s">
        <v>136</v>
      </c>
      <c r="B591" t="s">
        <v>138</v>
      </c>
      <c r="C591" t="s">
        <v>127</v>
      </c>
      <c r="D591" t="s">
        <v>106</v>
      </c>
      <c r="E591" t="s">
        <v>918</v>
      </c>
      <c r="F591">
        <v>24</v>
      </c>
      <c r="G591">
        <v>4.5999999999999996</v>
      </c>
      <c r="H591">
        <v>110.4</v>
      </c>
    </row>
    <row r="592" spans="1:8" x14ac:dyDescent="0.25">
      <c r="A592" t="s">
        <v>140</v>
      </c>
      <c r="B592" t="s">
        <v>141</v>
      </c>
      <c r="C592" t="s">
        <v>127</v>
      </c>
      <c r="D592" t="s">
        <v>106</v>
      </c>
      <c r="E592" t="s">
        <v>139</v>
      </c>
      <c r="F592">
        <v>24</v>
      </c>
      <c r="G592">
        <v>4.0999999999999996</v>
      </c>
      <c r="H592">
        <v>98.4</v>
      </c>
    </row>
    <row r="593" spans="1:8" x14ac:dyDescent="0.25">
      <c r="A593" t="s">
        <v>142</v>
      </c>
      <c r="B593" t="s">
        <v>143</v>
      </c>
      <c r="C593" t="s">
        <v>127</v>
      </c>
      <c r="D593" t="s">
        <v>106</v>
      </c>
      <c r="E593" t="s">
        <v>918</v>
      </c>
      <c r="F593">
        <v>24</v>
      </c>
      <c r="G593">
        <v>3.9</v>
      </c>
      <c r="H593">
        <v>93.6</v>
      </c>
    </row>
    <row r="594" spans="1:8" x14ac:dyDescent="0.25">
      <c r="A594" t="s">
        <v>916</v>
      </c>
      <c r="B594" t="s">
        <v>125</v>
      </c>
      <c r="C594" t="s">
        <v>127</v>
      </c>
      <c r="D594" t="s">
        <v>106</v>
      </c>
      <c r="E594" t="s">
        <v>126</v>
      </c>
      <c r="F594">
        <v>40</v>
      </c>
      <c r="G594">
        <v>4.7</v>
      </c>
      <c r="H594">
        <v>188</v>
      </c>
    </row>
    <row r="609" spans="1:8" x14ac:dyDescent="0.25">
      <c r="A609" t="s">
        <v>917</v>
      </c>
      <c r="B609" t="s">
        <v>129</v>
      </c>
      <c r="C609" t="s">
        <v>127</v>
      </c>
      <c r="D609" t="s">
        <v>106</v>
      </c>
      <c r="E609" t="s">
        <v>126</v>
      </c>
      <c r="F609">
        <v>40</v>
      </c>
      <c r="G609">
        <v>4.5</v>
      </c>
      <c r="H609">
        <v>180</v>
      </c>
    </row>
    <row r="610" spans="1:8" x14ac:dyDescent="0.25">
      <c r="A610" t="s">
        <v>49</v>
      </c>
      <c r="B610" t="s">
        <v>51</v>
      </c>
      <c r="C610" t="s">
        <v>52</v>
      </c>
      <c r="D610" t="s">
        <v>19</v>
      </c>
      <c r="E610" t="s">
        <v>37</v>
      </c>
      <c r="F610">
        <v>22</v>
      </c>
      <c r="G610">
        <v>4.2</v>
      </c>
      <c r="H610">
        <v>92.4</v>
      </c>
    </row>
    <row r="611" spans="1:8" x14ac:dyDescent="0.25">
      <c r="A611" t="s">
        <v>53</v>
      </c>
      <c r="B611" t="s">
        <v>54</v>
      </c>
      <c r="C611" t="s">
        <v>52</v>
      </c>
      <c r="D611" t="s">
        <v>19</v>
      </c>
      <c r="E611" t="s">
        <v>37</v>
      </c>
      <c r="F611">
        <v>22</v>
      </c>
      <c r="G611">
        <v>4.2</v>
      </c>
      <c r="H611">
        <v>92.4</v>
      </c>
    </row>
    <row r="612" spans="1:8" x14ac:dyDescent="0.25">
      <c r="A612" t="s">
        <v>655</v>
      </c>
      <c r="B612" t="s">
        <v>657</v>
      </c>
      <c r="C612" t="s">
        <v>52</v>
      </c>
      <c r="D612" t="s">
        <v>19</v>
      </c>
      <c r="E612" t="s">
        <v>372</v>
      </c>
      <c r="F612">
        <v>30</v>
      </c>
      <c r="G612">
        <v>1.95</v>
      </c>
      <c r="H612">
        <v>58.5</v>
      </c>
    </row>
    <row r="613" spans="1:8" x14ac:dyDescent="0.25">
      <c r="A613" t="s">
        <v>667</v>
      </c>
      <c r="B613" t="s">
        <v>669</v>
      </c>
      <c r="C613" t="s">
        <v>52</v>
      </c>
      <c r="D613" t="s">
        <v>19</v>
      </c>
      <c r="E613" t="s">
        <v>372</v>
      </c>
      <c r="F613">
        <v>30</v>
      </c>
      <c r="G613">
        <v>1.8</v>
      </c>
      <c r="H613">
        <v>54</v>
      </c>
    </row>
    <row r="614" spans="1:8" x14ac:dyDescent="0.25">
      <c r="A614" t="s">
        <v>913</v>
      </c>
      <c r="B614" t="s">
        <v>914</v>
      </c>
      <c r="C614" t="s">
        <v>26</v>
      </c>
      <c r="E614" t="s">
        <v>915</v>
      </c>
      <c r="F614">
        <v>38</v>
      </c>
      <c r="G614">
        <v>0</v>
      </c>
      <c r="H61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87"/>
  <sheetViews>
    <sheetView topLeftCell="A10" workbookViewId="0"/>
  </sheetViews>
  <sheetFormatPr defaultRowHeight="15" x14ac:dyDescent="0.25"/>
  <cols>
    <col min="1" max="1" width="33.28515625" bestFit="1" customWidth="1"/>
    <col min="2" max="2" width="6.28515625" bestFit="1" customWidth="1"/>
    <col min="3" max="3" width="19.140625" bestFit="1" customWidth="1"/>
    <col min="4" max="4" width="14.28515625" bestFit="1" customWidth="1"/>
    <col min="5" max="5" width="11.5703125" bestFit="1" customWidth="1"/>
    <col min="6" max="6" width="8" bestFit="1" customWidth="1"/>
    <col min="7" max="7" width="6.140625" bestFit="1" customWidth="1"/>
    <col min="8" max="8" width="13.140625" bestFit="1" customWidth="1"/>
  </cols>
  <sheetData>
    <row r="2" spans="1:8" x14ac:dyDescent="0.25">
      <c r="A2" t="s">
        <v>969</v>
      </c>
      <c r="C2" t="s">
        <v>920</v>
      </c>
      <c r="D2" t="s">
        <v>921</v>
      </c>
      <c r="G2" t="s">
        <v>922</v>
      </c>
      <c r="H2" t="s">
        <v>923</v>
      </c>
    </row>
    <row r="3" spans="1:8" x14ac:dyDescent="0.25">
      <c r="A3" t="s">
        <v>970</v>
      </c>
      <c r="C3" t="s">
        <v>925</v>
      </c>
      <c r="D3" t="s">
        <v>926</v>
      </c>
      <c r="G3" t="s">
        <v>927</v>
      </c>
      <c r="H3" t="s">
        <v>971</v>
      </c>
    </row>
    <row r="5" spans="1:8" x14ac:dyDescent="0.25">
      <c r="A5" t="s">
        <v>929</v>
      </c>
      <c r="B5" t="s">
        <v>930</v>
      </c>
      <c r="C5" t="s">
        <v>931</v>
      </c>
      <c r="D5" t="s">
        <v>932</v>
      </c>
      <c r="E5" t="s">
        <v>933</v>
      </c>
      <c r="F5" t="s">
        <v>934</v>
      </c>
      <c r="G5" t="s">
        <v>935</v>
      </c>
      <c r="H5" t="s">
        <v>936</v>
      </c>
    </row>
    <row r="7" spans="1:8" x14ac:dyDescent="0.25">
      <c r="A7" t="s">
        <v>810</v>
      </c>
      <c r="B7" t="s">
        <v>812</v>
      </c>
      <c r="C7" t="s">
        <v>26</v>
      </c>
      <c r="D7" t="s">
        <v>19</v>
      </c>
      <c r="E7" t="s">
        <v>177</v>
      </c>
      <c r="F7">
        <v>40</v>
      </c>
      <c r="G7">
        <v>5.6</v>
      </c>
      <c r="H7">
        <v>224</v>
      </c>
    </row>
    <row r="8" spans="1:8" x14ac:dyDescent="0.25">
      <c r="A8" t="s">
        <v>816</v>
      </c>
      <c r="B8" t="s">
        <v>818</v>
      </c>
      <c r="C8" t="s">
        <v>26</v>
      </c>
      <c r="D8" t="s">
        <v>19</v>
      </c>
      <c r="E8" t="s">
        <v>177</v>
      </c>
      <c r="F8">
        <v>40</v>
      </c>
      <c r="G8">
        <v>8.6999999999999993</v>
      </c>
      <c r="H8">
        <v>348</v>
      </c>
    </row>
    <row r="9" spans="1:8" x14ac:dyDescent="0.25">
      <c r="A9" t="s">
        <v>819</v>
      </c>
      <c r="B9" t="s">
        <v>821</v>
      </c>
      <c r="C9" t="s">
        <v>312</v>
      </c>
      <c r="D9" t="s">
        <v>19</v>
      </c>
      <c r="E9" t="s">
        <v>822</v>
      </c>
      <c r="F9">
        <v>8.8000000000000007</v>
      </c>
      <c r="G9">
        <v>1.9</v>
      </c>
      <c r="H9">
        <v>41.8</v>
      </c>
    </row>
    <row r="10" spans="1:8" x14ac:dyDescent="0.25">
      <c r="A10" t="s">
        <v>782</v>
      </c>
      <c r="B10" t="s">
        <v>784</v>
      </c>
      <c r="C10" t="s">
        <v>26</v>
      </c>
      <c r="D10" t="s">
        <v>19</v>
      </c>
      <c r="E10" t="s">
        <v>772</v>
      </c>
      <c r="F10">
        <v>10</v>
      </c>
      <c r="G10">
        <v>3.8</v>
      </c>
      <c r="H10">
        <v>76</v>
      </c>
    </row>
    <row r="11" spans="1:8" x14ac:dyDescent="0.25">
      <c r="A11" t="s">
        <v>779</v>
      </c>
      <c r="B11" t="s">
        <v>781</v>
      </c>
      <c r="C11" t="s">
        <v>26</v>
      </c>
      <c r="D11" t="s">
        <v>19</v>
      </c>
      <c r="E11" t="s">
        <v>299</v>
      </c>
      <c r="F11">
        <v>10</v>
      </c>
      <c r="G11">
        <v>7.5</v>
      </c>
      <c r="H11">
        <v>75</v>
      </c>
    </row>
    <row r="12" spans="1:8" x14ac:dyDescent="0.25">
      <c r="A12" t="s">
        <v>769</v>
      </c>
      <c r="B12" t="s">
        <v>771</v>
      </c>
      <c r="C12" t="s">
        <v>26</v>
      </c>
      <c r="D12" t="s">
        <v>19</v>
      </c>
      <c r="E12" t="s">
        <v>772</v>
      </c>
      <c r="F12">
        <v>10</v>
      </c>
      <c r="G12">
        <v>6.4</v>
      </c>
      <c r="H12">
        <v>128</v>
      </c>
    </row>
    <row r="13" spans="1:8" x14ac:dyDescent="0.25">
      <c r="A13" t="s">
        <v>785</v>
      </c>
      <c r="B13" t="s">
        <v>787</v>
      </c>
      <c r="C13" t="s">
        <v>26</v>
      </c>
      <c r="D13" t="s">
        <v>106</v>
      </c>
      <c r="E13" t="s">
        <v>376</v>
      </c>
      <c r="F13">
        <v>33</v>
      </c>
      <c r="G13">
        <v>5</v>
      </c>
      <c r="H13">
        <v>165</v>
      </c>
    </row>
    <row r="14" spans="1:8" x14ac:dyDescent="0.25">
      <c r="A14" t="s">
        <v>807</v>
      </c>
      <c r="B14" t="s">
        <v>809</v>
      </c>
      <c r="C14" t="s">
        <v>26</v>
      </c>
      <c r="D14" t="s">
        <v>106</v>
      </c>
      <c r="E14" t="s">
        <v>284</v>
      </c>
      <c r="F14">
        <v>22.5</v>
      </c>
      <c r="G14">
        <v>5.4</v>
      </c>
      <c r="H14">
        <v>162</v>
      </c>
    </row>
    <row r="15" spans="1:8" x14ac:dyDescent="0.25">
      <c r="A15" t="s">
        <v>788</v>
      </c>
      <c r="B15" t="s">
        <v>790</v>
      </c>
      <c r="C15" t="s">
        <v>26</v>
      </c>
      <c r="D15" t="s">
        <v>106</v>
      </c>
      <c r="E15" t="s">
        <v>791</v>
      </c>
      <c r="F15">
        <v>37.5</v>
      </c>
      <c r="G15">
        <v>3.5</v>
      </c>
      <c r="H15">
        <v>210</v>
      </c>
    </row>
    <row r="16" spans="1:8" x14ac:dyDescent="0.25">
      <c r="A16" t="s">
        <v>796</v>
      </c>
      <c r="B16" t="s">
        <v>797</v>
      </c>
      <c r="C16" t="s">
        <v>26</v>
      </c>
      <c r="D16" t="s">
        <v>19</v>
      </c>
      <c r="E16" t="s">
        <v>795</v>
      </c>
      <c r="F16">
        <v>15</v>
      </c>
      <c r="G16">
        <v>1.8</v>
      </c>
      <c r="H16">
        <v>144</v>
      </c>
    </row>
    <row r="17" spans="1:8" x14ac:dyDescent="0.25">
      <c r="A17" t="s">
        <v>792</v>
      </c>
      <c r="B17" t="s">
        <v>794</v>
      </c>
      <c r="C17" t="s">
        <v>26</v>
      </c>
      <c r="D17" t="s">
        <v>19</v>
      </c>
      <c r="E17" t="s">
        <v>795</v>
      </c>
      <c r="F17">
        <v>15</v>
      </c>
      <c r="G17">
        <v>2</v>
      </c>
      <c r="H17">
        <v>160</v>
      </c>
    </row>
    <row r="18" spans="1:8" x14ac:dyDescent="0.25">
      <c r="A18" t="s">
        <v>766</v>
      </c>
      <c r="B18" t="s">
        <v>768</v>
      </c>
      <c r="C18" t="s">
        <v>26</v>
      </c>
      <c r="D18" t="s">
        <v>19</v>
      </c>
      <c r="E18" t="s">
        <v>37</v>
      </c>
      <c r="F18">
        <v>22</v>
      </c>
      <c r="G18">
        <v>4</v>
      </c>
      <c r="H18">
        <v>88</v>
      </c>
    </row>
    <row r="19" spans="1:8" x14ac:dyDescent="0.25">
      <c r="A19" t="s">
        <v>776</v>
      </c>
      <c r="B19" t="s">
        <v>778</v>
      </c>
      <c r="C19" t="s">
        <v>26</v>
      </c>
      <c r="D19" t="s">
        <v>19</v>
      </c>
      <c r="E19" t="s">
        <v>37</v>
      </c>
      <c r="F19">
        <v>22</v>
      </c>
      <c r="G19">
        <v>6.8</v>
      </c>
      <c r="H19">
        <v>149.6</v>
      </c>
    </row>
    <row r="20" spans="1:8" x14ac:dyDescent="0.25">
      <c r="A20" t="s">
        <v>773</v>
      </c>
      <c r="B20" t="s">
        <v>775</v>
      </c>
      <c r="C20" t="s">
        <v>26</v>
      </c>
      <c r="D20" t="s">
        <v>19</v>
      </c>
      <c r="E20" t="s">
        <v>898</v>
      </c>
      <c r="F20">
        <v>10</v>
      </c>
      <c r="G20">
        <v>4.95</v>
      </c>
      <c r="H20">
        <v>49.5</v>
      </c>
    </row>
    <row r="21" spans="1:8" x14ac:dyDescent="0.25">
      <c r="A21" t="s">
        <v>813</v>
      </c>
      <c r="B21" t="s">
        <v>815</v>
      </c>
      <c r="C21" t="s">
        <v>26</v>
      </c>
      <c r="D21" t="s">
        <v>19</v>
      </c>
      <c r="E21" t="s">
        <v>151</v>
      </c>
      <c r="F21">
        <v>24</v>
      </c>
      <c r="G21">
        <v>2.2000000000000002</v>
      </c>
      <c r="H21">
        <v>52.8</v>
      </c>
    </row>
    <row r="22" spans="1:8" x14ac:dyDescent="0.25">
      <c r="A22" t="s">
        <v>804</v>
      </c>
      <c r="B22" t="s">
        <v>806</v>
      </c>
      <c r="C22" t="s">
        <v>26</v>
      </c>
      <c r="D22" t="s">
        <v>19</v>
      </c>
      <c r="E22" t="s">
        <v>160</v>
      </c>
      <c r="F22">
        <v>18</v>
      </c>
      <c r="G22">
        <v>3.6</v>
      </c>
      <c r="H22">
        <v>86.4</v>
      </c>
    </row>
    <row r="23" spans="1:8" x14ac:dyDescent="0.25">
      <c r="A23" t="s">
        <v>801</v>
      </c>
      <c r="B23" t="s">
        <v>803</v>
      </c>
      <c r="C23" t="s">
        <v>26</v>
      </c>
      <c r="D23" t="s">
        <v>19</v>
      </c>
      <c r="E23" t="s">
        <v>284</v>
      </c>
      <c r="F23">
        <v>22.5</v>
      </c>
      <c r="G23">
        <v>2.35</v>
      </c>
      <c r="H23">
        <v>70.5</v>
      </c>
    </row>
    <row r="24" spans="1:8" x14ac:dyDescent="0.25">
      <c r="A24" t="s">
        <v>798</v>
      </c>
      <c r="B24" t="s">
        <v>800</v>
      </c>
      <c r="C24" t="s">
        <v>26</v>
      </c>
      <c r="D24" t="s">
        <v>19</v>
      </c>
      <c r="E24" t="s">
        <v>160</v>
      </c>
      <c r="F24">
        <v>24</v>
      </c>
      <c r="G24">
        <v>3.7</v>
      </c>
      <c r="H24">
        <v>88.8</v>
      </c>
    </row>
    <row r="25" spans="1:8" x14ac:dyDescent="0.25">
      <c r="A25" t="s">
        <v>231</v>
      </c>
      <c r="B25" t="s">
        <v>233</v>
      </c>
      <c r="C25" t="s">
        <v>18</v>
      </c>
      <c r="D25" t="s">
        <v>19</v>
      </c>
      <c r="E25" t="s">
        <v>17</v>
      </c>
      <c r="F25">
        <v>26.5</v>
      </c>
      <c r="G25">
        <v>3.7</v>
      </c>
      <c r="H25">
        <v>111</v>
      </c>
    </row>
    <row r="26" spans="1:8" x14ac:dyDescent="0.25">
      <c r="A26" t="s">
        <v>234</v>
      </c>
      <c r="B26" t="s">
        <v>235</v>
      </c>
      <c r="C26" t="s">
        <v>26</v>
      </c>
      <c r="D26" t="s">
        <v>19</v>
      </c>
      <c r="E26" t="s">
        <v>17</v>
      </c>
      <c r="F26">
        <v>26.25</v>
      </c>
      <c r="G26">
        <v>3.7</v>
      </c>
      <c r="H26">
        <v>111</v>
      </c>
    </row>
    <row r="27" spans="1:8" x14ac:dyDescent="0.25">
      <c r="A27" t="s">
        <v>252</v>
      </c>
      <c r="B27" t="s">
        <v>254</v>
      </c>
      <c r="C27" t="s">
        <v>26</v>
      </c>
      <c r="D27" t="s">
        <v>19</v>
      </c>
      <c r="E27" t="s">
        <v>160</v>
      </c>
      <c r="F27">
        <v>18</v>
      </c>
      <c r="G27">
        <v>3.9</v>
      </c>
      <c r="H27">
        <v>93.6</v>
      </c>
    </row>
    <row r="28" spans="1:8" x14ac:dyDescent="0.25">
      <c r="A28" t="s">
        <v>255</v>
      </c>
      <c r="B28" t="s">
        <v>257</v>
      </c>
      <c r="C28" t="s">
        <v>26</v>
      </c>
      <c r="D28" t="s">
        <v>19</v>
      </c>
      <c r="E28" t="s">
        <v>160</v>
      </c>
      <c r="F28">
        <v>18</v>
      </c>
      <c r="G28">
        <v>3.9</v>
      </c>
      <c r="H28">
        <v>93.6</v>
      </c>
    </row>
    <row r="29" spans="1:8" x14ac:dyDescent="0.25">
      <c r="A29" t="s">
        <v>278</v>
      </c>
      <c r="B29" t="s">
        <v>280</v>
      </c>
      <c r="C29" t="s">
        <v>18</v>
      </c>
      <c r="D29" t="s">
        <v>19</v>
      </c>
      <c r="E29" t="s">
        <v>908</v>
      </c>
      <c r="F29">
        <v>26.25</v>
      </c>
      <c r="G29">
        <v>2.6</v>
      </c>
      <c r="H29">
        <v>78</v>
      </c>
    </row>
    <row r="30" spans="1:8" x14ac:dyDescent="0.25">
      <c r="A30" t="s">
        <v>258</v>
      </c>
      <c r="B30" t="s">
        <v>260</v>
      </c>
      <c r="C30" t="s">
        <v>26</v>
      </c>
      <c r="D30" t="s">
        <v>19</v>
      </c>
      <c r="E30" t="s">
        <v>17</v>
      </c>
      <c r="F30">
        <v>26.25</v>
      </c>
      <c r="G30">
        <v>3.2</v>
      </c>
      <c r="H30">
        <v>96</v>
      </c>
    </row>
    <row r="31" spans="1:8" x14ac:dyDescent="0.25">
      <c r="A31" t="s">
        <v>267</v>
      </c>
      <c r="B31" t="s">
        <v>269</v>
      </c>
      <c r="C31" t="s">
        <v>61</v>
      </c>
      <c r="D31" t="s">
        <v>19</v>
      </c>
      <c r="E31" t="s">
        <v>270</v>
      </c>
      <c r="F31">
        <v>30</v>
      </c>
      <c r="G31">
        <v>4.9000000000000004</v>
      </c>
      <c r="H31">
        <v>147</v>
      </c>
    </row>
    <row r="32" spans="1:8" x14ac:dyDescent="0.25">
      <c r="A32" t="s">
        <v>309</v>
      </c>
      <c r="B32" t="s">
        <v>311</v>
      </c>
      <c r="C32" t="s">
        <v>312</v>
      </c>
      <c r="D32" t="s">
        <v>106</v>
      </c>
      <c r="E32" t="s">
        <v>177</v>
      </c>
      <c r="F32">
        <v>40</v>
      </c>
      <c r="G32">
        <v>2.35</v>
      </c>
      <c r="H32">
        <v>94</v>
      </c>
    </row>
    <row r="33" spans="1:8" x14ac:dyDescent="0.25">
      <c r="A33" t="s">
        <v>313</v>
      </c>
      <c r="B33" t="s">
        <v>314</v>
      </c>
      <c r="C33" t="s">
        <v>312</v>
      </c>
      <c r="D33" t="s">
        <v>106</v>
      </c>
      <c r="E33" t="s">
        <v>177</v>
      </c>
      <c r="F33">
        <v>40</v>
      </c>
      <c r="G33">
        <v>2.7</v>
      </c>
      <c r="H33">
        <v>108</v>
      </c>
    </row>
    <row r="34" spans="1:8" x14ac:dyDescent="0.25">
      <c r="A34" t="s">
        <v>345</v>
      </c>
      <c r="B34" t="s">
        <v>346</v>
      </c>
      <c r="C34" t="s">
        <v>312</v>
      </c>
      <c r="D34" t="s">
        <v>106</v>
      </c>
      <c r="E34" t="s">
        <v>177</v>
      </c>
      <c r="F34">
        <v>40</v>
      </c>
      <c r="G34">
        <v>1.5</v>
      </c>
      <c r="H34">
        <v>60</v>
      </c>
    </row>
    <row r="35" spans="1:8" x14ac:dyDescent="0.25">
      <c r="A35" t="s">
        <v>347</v>
      </c>
      <c r="B35" t="s">
        <v>348</v>
      </c>
      <c r="C35" t="s">
        <v>312</v>
      </c>
      <c r="D35" t="s">
        <v>106</v>
      </c>
      <c r="E35" t="s">
        <v>177</v>
      </c>
      <c r="F35">
        <v>40</v>
      </c>
      <c r="G35">
        <v>1.55</v>
      </c>
      <c r="H35">
        <v>62</v>
      </c>
    </row>
    <row r="36" spans="1:8" x14ac:dyDescent="0.25">
      <c r="A36" t="s">
        <v>180</v>
      </c>
      <c r="B36" t="s">
        <v>182</v>
      </c>
      <c r="C36" t="s">
        <v>18</v>
      </c>
      <c r="D36" t="s">
        <v>106</v>
      </c>
      <c r="E36" t="s">
        <v>177</v>
      </c>
      <c r="F36">
        <v>40</v>
      </c>
      <c r="G36">
        <v>3</v>
      </c>
      <c r="H36">
        <v>120</v>
      </c>
    </row>
    <row r="37" spans="1:8" x14ac:dyDescent="0.25">
      <c r="A37" t="s">
        <v>183</v>
      </c>
      <c r="B37" t="s">
        <v>184</v>
      </c>
      <c r="C37" t="s">
        <v>18</v>
      </c>
      <c r="D37" t="s">
        <v>106</v>
      </c>
      <c r="E37" t="s">
        <v>177</v>
      </c>
      <c r="F37">
        <v>40</v>
      </c>
      <c r="G37">
        <v>3.1</v>
      </c>
      <c r="H37">
        <v>124</v>
      </c>
    </row>
    <row r="38" spans="1:8" x14ac:dyDescent="0.25">
      <c r="A38" t="s">
        <v>185</v>
      </c>
      <c r="B38" t="s">
        <v>186</v>
      </c>
      <c r="C38" t="s">
        <v>18</v>
      </c>
      <c r="D38" t="s">
        <v>106</v>
      </c>
      <c r="E38" t="s">
        <v>177</v>
      </c>
      <c r="F38">
        <v>40</v>
      </c>
      <c r="G38">
        <v>3.3</v>
      </c>
      <c r="H38">
        <v>132</v>
      </c>
    </row>
    <row r="39" spans="1:8" x14ac:dyDescent="0.25">
      <c r="A39" t="s">
        <v>187</v>
      </c>
      <c r="B39" t="s">
        <v>188</v>
      </c>
      <c r="C39" t="s">
        <v>18</v>
      </c>
      <c r="D39" t="s">
        <v>106</v>
      </c>
      <c r="E39" t="s">
        <v>177</v>
      </c>
      <c r="F39">
        <v>40</v>
      </c>
      <c r="G39">
        <v>3.7</v>
      </c>
      <c r="H39">
        <v>148</v>
      </c>
    </row>
    <row r="40" spans="1:8" x14ac:dyDescent="0.25">
      <c r="A40" t="s">
        <v>189</v>
      </c>
      <c r="B40" t="s">
        <v>190</v>
      </c>
      <c r="C40" t="s">
        <v>18</v>
      </c>
      <c r="D40" t="s">
        <v>106</v>
      </c>
      <c r="E40" t="s">
        <v>177</v>
      </c>
      <c r="F40">
        <v>40</v>
      </c>
      <c r="G40">
        <v>3.95</v>
      </c>
      <c r="H40">
        <v>158</v>
      </c>
    </row>
    <row r="41" spans="1:8" x14ac:dyDescent="0.25">
      <c r="A41" t="s">
        <v>174</v>
      </c>
      <c r="B41" t="s">
        <v>176</v>
      </c>
      <c r="C41" t="s">
        <v>26</v>
      </c>
      <c r="D41" t="s">
        <v>19</v>
      </c>
      <c r="E41" t="s">
        <v>177</v>
      </c>
      <c r="F41">
        <v>40</v>
      </c>
      <c r="G41">
        <v>3</v>
      </c>
      <c r="H41">
        <v>120</v>
      </c>
    </row>
    <row r="42" spans="1:8" x14ac:dyDescent="0.25">
      <c r="A42" t="s">
        <v>178</v>
      </c>
      <c r="B42" t="s">
        <v>179</v>
      </c>
      <c r="C42" t="s">
        <v>26</v>
      </c>
      <c r="D42" t="s">
        <v>19</v>
      </c>
      <c r="E42" t="s">
        <v>177</v>
      </c>
      <c r="F42">
        <v>40</v>
      </c>
      <c r="G42">
        <v>3.2</v>
      </c>
      <c r="H42">
        <v>128</v>
      </c>
    </row>
    <row r="43" spans="1:8" x14ac:dyDescent="0.25">
      <c r="A43" t="s">
        <v>466</v>
      </c>
      <c r="B43" t="s">
        <v>468</v>
      </c>
      <c r="C43" t="s">
        <v>398</v>
      </c>
      <c r="D43" t="s">
        <v>19</v>
      </c>
      <c r="E43" t="s">
        <v>17</v>
      </c>
      <c r="F43">
        <v>26.25</v>
      </c>
      <c r="G43">
        <v>7.5</v>
      </c>
      <c r="H43">
        <v>225</v>
      </c>
    </row>
    <row r="44" spans="1:8" x14ac:dyDescent="0.25">
      <c r="A44" t="s">
        <v>460</v>
      </c>
      <c r="B44" t="s">
        <v>462</v>
      </c>
      <c r="C44" t="s">
        <v>26</v>
      </c>
      <c r="D44" t="s">
        <v>19</v>
      </c>
      <c r="E44" t="s">
        <v>17</v>
      </c>
      <c r="F44">
        <v>26.25</v>
      </c>
      <c r="G44">
        <v>7</v>
      </c>
      <c r="H44">
        <v>210</v>
      </c>
    </row>
    <row r="45" spans="1:8" x14ac:dyDescent="0.25">
      <c r="A45" t="s">
        <v>463</v>
      </c>
      <c r="B45" t="s">
        <v>465</v>
      </c>
      <c r="C45" t="s">
        <v>26</v>
      </c>
      <c r="D45" t="s">
        <v>19</v>
      </c>
      <c r="E45" t="s">
        <v>43</v>
      </c>
      <c r="F45">
        <v>30</v>
      </c>
      <c r="G45">
        <v>7.5</v>
      </c>
      <c r="H45">
        <v>225</v>
      </c>
    </row>
    <row r="46" spans="1:8" x14ac:dyDescent="0.25">
      <c r="A46" t="s">
        <v>500</v>
      </c>
      <c r="B46" t="s">
        <v>502</v>
      </c>
      <c r="C46" t="s">
        <v>398</v>
      </c>
      <c r="D46" t="s">
        <v>19</v>
      </c>
      <c r="E46" t="s">
        <v>17</v>
      </c>
      <c r="F46">
        <v>26.25</v>
      </c>
      <c r="G46">
        <v>3.9</v>
      </c>
      <c r="H46">
        <v>117</v>
      </c>
    </row>
    <row r="47" spans="1:8" x14ac:dyDescent="0.25">
      <c r="A47" t="s">
        <v>478</v>
      </c>
      <c r="B47" t="s">
        <v>480</v>
      </c>
      <c r="C47" t="s">
        <v>26</v>
      </c>
      <c r="D47" t="s">
        <v>19</v>
      </c>
      <c r="E47" t="s">
        <v>376</v>
      </c>
      <c r="F47">
        <v>33</v>
      </c>
      <c r="G47">
        <v>3.8</v>
      </c>
      <c r="H47">
        <v>125.4</v>
      </c>
    </row>
    <row r="48" spans="1:8" x14ac:dyDescent="0.25">
      <c r="A48" t="s">
        <v>481</v>
      </c>
      <c r="B48" t="s">
        <v>483</v>
      </c>
      <c r="C48" t="s">
        <v>26</v>
      </c>
      <c r="D48" t="s">
        <v>19</v>
      </c>
      <c r="E48" t="s">
        <v>484</v>
      </c>
      <c r="F48">
        <v>50</v>
      </c>
      <c r="G48">
        <v>3.8</v>
      </c>
      <c r="H48">
        <v>190</v>
      </c>
    </row>
    <row r="49" spans="1:8" x14ac:dyDescent="0.25">
      <c r="A49" t="s">
        <v>485</v>
      </c>
      <c r="B49" t="s">
        <v>486</v>
      </c>
      <c r="C49" t="s">
        <v>26</v>
      </c>
      <c r="D49" t="s">
        <v>19</v>
      </c>
      <c r="E49" t="s">
        <v>487</v>
      </c>
      <c r="F49">
        <v>35</v>
      </c>
      <c r="G49">
        <v>4</v>
      </c>
      <c r="H49">
        <v>160</v>
      </c>
    </row>
    <row r="50" spans="1:8" x14ac:dyDescent="0.25">
      <c r="A50" t="s">
        <v>548</v>
      </c>
      <c r="B50" t="s">
        <v>550</v>
      </c>
      <c r="C50" t="s">
        <v>422</v>
      </c>
      <c r="D50" t="s">
        <v>19</v>
      </c>
      <c r="E50" t="s">
        <v>551</v>
      </c>
      <c r="F50">
        <v>25</v>
      </c>
      <c r="G50">
        <v>3.5</v>
      </c>
      <c r="H50">
        <v>87.5</v>
      </c>
    </row>
    <row r="51" spans="1:8" x14ac:dyDescent="0.25">
      <c r="A51" t="s">
        <v>641</v>
      </c>
      <c r="B51" t="s">
        <v>643</v>
      </c>
      <c r="C51" t="s">
        <v>322</v>
      </c>
      <c r="D51" t="s">
        <v>106</v>
      </c>
      <c r="E51" t="s">
        <v>177</v>
      </c>
      <c r="F51">
        <v>40</v>
      </c>
      <c r="G51">
        <v>2.5</v>
      </c>
      <c r="H51">
        <v>100</v>
      </c>
    </row>
    <row r="52" spans="1:8" x14ac:dyDescent="0.25">
      <c r="A52" t="s">
        <v>644</v>
      </c>
      <c r="B52" t="s">
        <v>645</v>
      </c>
      <c r="C52" t="s">
        <v>322</v>
      </c>
      <c r="D52" t="s">
        <v>106</v>
      </c>
      <c r="E52" t="s">
        <v>177</v>
      </c>
      <c r="F52">
        <v>40</v>
      </c>
      <c r="G52">
        <v>2.6</v>
      </c>
      <c r="H52">
        <v>104</v>
      </c>
    </row>
    <row r="67" spans="1:8" x14ac:dyDescent="0.25">
      <c r="A67" t="s">
        <v>972</v>
      </c>
      <c r="B67" t="s">
        <v>647</v>
      </c>
      <c r="C67" t="s">
        <v>322</v>
      </c>
      <c r="D67" t="s">
        <v>106</v>
      </c>
      <c r="E67" t="s">
        <v>177</v>
      </c>
      <c r="F67">
        <v>40</v>
      </c>
      <c r="G67">
        <v>2.6</v>
      </c>
      <c r="H67">
        <v>104</v>
      </c>
    </row>
    <row r="68" spans="1:8" x14ac:dyDescent="0.25">
      <c r="A68" t="s">
        <v>569</v>
      </c>
      <c r="B68" t="s">
        <v>571</v>
      </c>
      <c r="C68" t="s">
        <v>26</v>
      </c>
      <c r="D68" t="s">
        <v>19</v>
      </c>
      <c r="E68" t="s">
        <v>249</v>
      </c>
      <c r="F68">
        <v>15</v>
      </c>
      <c r="G68">
        <v>2.65</v>
      </c>
      <c r="H68">
        <v>79.5</v>
      </c>
    </row>
    <row r="69" spans="1:8" x14ac:dyDescent="0.25">
      <c r="A69" t="s">
        <v>572</v>
      </c>
      <c r="B69" t="s">
        <v>573</v>
      </c>
      <c r="C69" t="s">
        <v>26</v>
      </c>
      <c r="D69" t="s">
        <v>19</v>
      </c>
      <c r="E69" t="s">
        <v>249</v>
      </c>
      <c r="F69">
        <v>15</v>
      </c>
      <c r="G69">
        <v>2.65</v>
      </c>
      <c r="H69">
        <v>79.5</v>
      </c>
    </row>
    <row r="70" spans="1:8" x14ac:dyDescent="0.25">
      <c r="A70" t="s">
        <v>753</v>
      </c>
      <c r="B70" t="s">
        <v>755</v>
      </c>
      <c r="C70" t="s">
        <v>26</v>
      </c>
      <c r="D70" t="s">
        <v>19</v>
      </c>
      <c r="E70" t="s">
        <v>17</v>
      </c>
      <c r="F70">
        <v>26.25</v>
      </c>
      <c r="G70">
        <v>2.1</v>
      </c>
      <c r="H70">
        <v>63</v>
      </c>
    </row>
    <row r="71" spans="1:8" x14ac:dyDescent="0.25">
      <c r="A71" t="s">
        <v>405</v>
      </c>
      <c r="B71" t="s">
        <v>407</v>
      </c>
      <c r="C71" t="s">
        <v>26</v>
      </c>
      <c r="D71" t="s">
        <v>106</v>
      </c>
      <c r="E71" t="s">
        <v>911</v>
      </c>
      <c r="F71">
        <v>30</v>
      </c>
      <c r="G71">
        <v>3.5</v>
      </c>
      <c r="H71">
        <v>105</v>
      </c>
    </row>
    <row r="72" spans="1:8" x14ac:dyDescent="0.25">
      <c r="A72" t="s">
        <v>408</v>
      </c>
      <c r="B72" t="s">
        <v>409</v>
      </c>
      <c r="C72" t="s">
        <v>26</v>
      </c>
      <c r="D72" t="s">
        <v>106</v>
      </c>
      <c r="E72" t="s">
        <v>376</v>
      </c>
      <c r="F72">
        <v>33</v>
      </c>
      <c r="G72">
        <v>3.6</v>
      </c>
      <c r="H72">
        <v>118.8</v>
      </c>
    </row>
    <row r="73" spans="1:8" x14ac:dyDescent="0.25">
      <c r="A73" t="s">
        <v>402</v>
      </c>
      <c r="B73" t="s">
        <v>404</v>
      </c>
      <c r="C73" t="s">
        <v>26</v>
      </c>
      <c r="D73" t="s">
        <v>106</v>
      </c>
      <c r="E73" t="s">
        <v>372</v>
      </c>
      <c r="F73">
        <v>30</v>
      </c>
      <c r="G73">
        <v>3.9</v>
      </c>
      <c r="H73">
        <v>117</v>
      </c>
    </row>
    <row r="74" spans="1:8" x14ac:dyDescent="0.25">
      <c r="A74" t="s">
        <v>395</v>
      </c>
      <c r="B74" t="s">
        <v>396</v>
      </c>
      <c r="C74" t="s">
        <v>398</v>
      </c>
      <c r="D74" t="s">
        <v>19</v>
      </c>
      <c r="E74" t="s">
        <v>376</v>
      </c>
      <c r="F74">
        <v>33</v>
      </c>
      <c r="G74">
        <v>3.4</v>
      </c>
      <c r="H74">
        <v>112.2</v>
      </c>
    </row>
    <row r="132" spans="1:8" x14ac:dyDescent="0.25">
      <c r="A132" t="s">
        <v>969</v>
      </c>
      <c r="C132" t="s">
        <v>920</v>
      </c>
      <c r="D132" t="s">
        <v>921</v>
      </c>
      <c r="G132" t="s">
        <v>922</v>
      </c>
      <c r="H132" t="s">
        <v>954</v>
      </c>
    </row>
    <row r="133" spans="1:8" x14ac:dyDescent="0.25">
      <c r="A133" t="s">
        <v>970</v>
      </c>
      <c r="C133" t="s">
        <v>925</v>
      </c>
      <c r="D133" t="s">
        <v>926</v>
      </c>
      <c r="G133" t="s">
        <v>927</v>
      </c>
      <c r="H133" t="s">
        <v>971</v>
      </c>
    </row>
    <row r="135" spans="1:8" x14ac:dyDescent="0.25">
      <c r="A135" t="s">
        <v>929</v>
      </c>
      <c r="B135" t="s">
        <v>930</v>
      </c>
      <c r="C135" t="s">
        <v>931</v>
      </c>
      <c r="D135" t="s">
        <v>932</v>
      </c>
      <c r="E135" t="s">
        <v>933</v>
      </c>
      <c r="F135" t="s">
        <v>934</v>
      </c>
      <c r="G135" t="s">
        <v>935</v>
      </c>
      <c r="H135" t="s">
        <v>936</v>
      </c>
    </row>
    <row r="137" spans="1:8" x14ac:dyDescent="0.25">
      <c r="A137" t="s">
        <v>399</v>
      </c>
      <c r="B137" t="s">
        <v>401</v>
      </c>
      <c r="C137" t="s">
        <v>398</v>
      </c>
      <c r="D137" t="s">
        <v>19</v>
      </c>
      <c r="E137" t="s">
        <v>376</v>
      </c>
      <c r="F137">
        <v>33</v>
      </c>
      <c r="G137">
        <v>3.3</v>
      </c>
      <c r="H137">
        <v>108.9</v>
      </c>
    </row>
    <row r="138" spans="1:8" x14ac:dyDescent="0.25">
      <c r="A138" t="s">
        <v>103</v>
      </c>
      <c r="B138" t="s">
        <v>105</v>
      </c>
      <c r="C138" t="s">
        <v>26</v>
      </c>
      <c r="D138" t="s">
        <v>106</v>
      </c>
      <c r="E138" t="s">
        <v>901</v>
      </c>
      <c r="F138">
        <v>24</v>
      </c>
      <c r="G138">
        <v>10.9</v>
      </c>
      <c r="H138">
        <v>261.60000000000002</v>
      </c>
    </row>
    <row r="139" spans="1:8" x14ac:dyDescent="0.25">
      <c r="A139" t="s">
        <v>107</v>
      </c>
      <c r="B139" t="s">
        <v>108</v>
      </c>
      <c r="C139" t="s">
        <v>26</v>
      </c>
      <c r="D139" t="s">
        <v>106</v>
      </c>
      <c r="E139" t="s">
        <v>25</v>
      </c>
      <c r="F139">
        <v>24</v>
      </c>
      <c r="G139">
        <v>10.5</v>
      </c>
      <c r="H139">
        <v>252</v>
      </c>
    </row>
    <row r="140" spans="1:8" x14ac:dyDescent="0.25">
      <c r="A140" t="s">
        <v>109</v>
      </c>
      <c r="B140" t="s">
        <v>110</v>
      </c>
      <c r="C140" t="s">
        <v>26</v>
      </c>
      <c r="D140" t="s">
        <v>106</v>
      </c>
      <c r="E140" t="s">
        <v>25</v>
      </c>
      <c r="F140">
        <v>24</v>
      </c>
      <c r="G140">
        <v>8.5</v>
      </c>
      <c r="H140">
        <v>204</v>
      </c>
    </row>
    <row r="141" spans="1:8" x14ac:dyDescent="0.25">
      <c r="A141" t="s">
        <v>111</v>
      </c>
      <c r="B141" t="s">
        <v>112</v>
      </c>
      <c r="C141" t="s">
        <v>26</v>
      </c>
      <c r="D141" t="s">
        <v>106</v>
      </c>
      <c r="E141" t="s">
        <v>902</v>
      </c>
      <c r="F141">
        <v>24</v>
      </c>
      <c r="G141">
        <v>7.4</v>
      </c>
      <c r="H141">
        <v>177.6</v>
      </c>
    </row>
    <row r="142" spans="1:8" x14ac:dyDescent="0.25">
      <c r="A142" t="s">
        <v>445</v>
      </c>
      <c r="B142" t="s">
        <v>447</v>
      </c>
      <c r="C142" t="s">
        <v>26</v>
      </c>
      <c r="D142" t="s">
        <v>19</v>
      </c>
      <c r="E142" t="s">
        <v>17</v>
      </c>
      <c r="F142">
        <v>26.5</v>
      </c>
      <c r="G142">
        <v>2.8</v>
      </c>
      <c r="H142">
        <v>84</v>
      </c>
    </row>
    <row r="143" spans="1:8" x14ac:dyDescent="0.25">
      <c r="A143" t="s">
        <v>621</v>
      </c>
      <c r="B143" t="s">
        <v>623</v>
      </c>
      <c r="C143" t="s">
        <v>26</v>
      </c>
      <c r="D143" t="s">
        <v>106</v>
      </c>
      <c r="E143" t="s">
        <v>17</v>
      </c>
      <c r="F143">
        <v>26.25</v>
      </c>
      <c r="G143">
        <v>2.95</v>
      </c>
      <c r="H143">
        <v>88.5</v>
      </c>
    </row>
    <row r="144" spans="1:8" x14ac:dyDescent="0.25">
      <c r="A144" t="s">
        <v>728</v>
      </c>
      <c r="B144" t="s">
        <v>730</v>
      </c>
      <c r="C144" t="s">
        <v>26</v>
      </c>
      <c r="D144" t="s">
        <v>19</v>
      </c>
      <c r="E144" t="s">
        <v>17</v>
      </c>
      <c r="F144">
        <v>26.25</v>
      </c>
      <c r="G144">
        <v>4.2</v>
      </c>
      <c r="H144">
        <v>126</v>
      </c>
    </row>
    <row r="145" spans="1:8" x14ac:dyDescent="0.25">
      <c r="A145" t="s">
        <v>526</v>
      </c>
      <c r="B145" t="s">
        <v>527</v>
      </c>
      <c r="C145" t="s">
        <v>398</v>
      </c>
      <c r="D145" t="s">
        <v>19</v>
      </c>
      <c r="E145" t="s">
        <v>372</v>
      </c>
      <c r="F145">
        <v>30</v>
      </c>
      <c r="G145">
        <v>7.7</v>
      </c>
      <c r="H145">
        <v>231</v>
      </c>
    </row>
    <row r="146" spans="1:8" x14ac:dyDescent="0.25">
      <c r="A146" t="s">
        <v>528</v>
      </c>
      <c r="B146" t="s">
        <v>529</v>
      </c>
      <c r="C146" t="s">
        <v>398</v>
      </c>
      <c r="D146" t="s">
        <v>19</v>
      </c>
      <c r="E146" t="s">
        <v>376</v>
      </c>
      <c r="F146">
        <v>33</v>
      </c>
      <c r="G146">
        <v>8</v>
      </c>
      <c r="H146">
        <v>264</v>
      </c>
    </row>
    <row r="147" spans="1:8" x14ac:dyDescent="0.25">
      <c r="A147" t="s">
        <v>520</v>
      </c>
      <c r="B147" t="s">
        <v>521</v>
      </c>
      <c r="C147" t="s">
        <v>398</v>
      </c>
      <c r="D147" t="s">
        <v>19</v>
      </c>
      <c r="E147" t="s">
        <v>376</v>
      </c>
      <c r="F147">
        <v>33</v>
      </c>
      <c r="G147">
        <v>9.8000000000000007</v>
      </c>
      <c r="H147">
        <v>323.39999999999998</v>
      </c>
    </row>
    <row r="148" spans="1:8" x14ac:dyDescent="0.25">
      <c r="A148" t="s">
        <v>522</v>
      </c>
      <c r="B148" t="s">
        <v>523</v>
      </c>
      <c r="C148" t="s">
        <v>398</v>
      </c>
      <c r="D148" t="s">
        <v>19</v>
      </c>
      <c r="E148" t="s">
        <v>376</v>
      </c>
      <c r="F148">
        <v>33</v>
      </c>
      <c r="G148">
        <v>10.5</v>
      </c>
      <c r="H148">
        <v>346.5</v>
      </c>
    </row>
    <row r="149" spans="1:8" x14ac:dyDescent="0.25">
      <c r="A149" t="s">
        <v>524</v>
      </c>
      <c r="B149" t="s">
        <v>525</v>
      </c>
      <c r="C149" t="s">
        <v>398</v>
      </c>
      <c r="D149" t="s">
        <v>19</v>
      </c>
      <c r="E149" t="s">
        <v>376</v>
      </c>
      <c r="F149">
        <v>33</v>
      </c>
      <c r="G149">
        <v>12.5</v>
      </c>
      <c r="H149">
        <v>412.5</v>
      </c>
    </row>
    <row r="150" spans="1:8" x14ac:dyDescent="0.25">
      <c r="A150" t="s">
        <v>747</v>
      </c>
      <c r="B150" t="s">
        <v>749</v>
      </c>
      <c r="C150" t="s">
        <v>26</v>
      </c>
      <c r="D150" t="s">
        <v>19</v>
      </c>
      <c r="E150" t="s">
        <v>17</v>
      </c>
      <c r="F150">
        <v>26.25</v>
      </c>
      <c r="G150">
        <v>2.2999999999999998</v>
      </c>
      <c r="H150">
        <v>69</v>
      </c>
    </row>
    <row r="151" spans="1:8" x14ac:dyDescent="0.25">
      <c r="A151" t="s">
        <v>717</v>
      </c>
      <c r="B151" t="s">
        <v>719</v>
      </c>
      <c r="C151" t="s">
        <v>26</v>
      </c>
      <c r="D151" t="s">
        <v>19</v>
      </c>
      <c r="E151" t="s">
        <v>17</v>
      </c>
      <c r="F151">
        <v>26.25</v>
      </c>
      <c r="G151">
        <v>3.2</v>
      </c>
      <c r="H151">
        <v>96</v>
      </c>
    </row>
    <row r="152" spans="1:8" x14ac:dyDescent="0.25">
      <c r="A152" t="s">
        <v>725</v>
      </c>
      <c r="B152" t="s">
        <v>727</v>
      </c>
      <c r="C152" t="s">
        <v>26</v>
      </c>
      <c r="D152" t="s">
        <v>19</v>
      </c>
      <c r="E152" t="s">
        <v>17</v>
      </c>
      <c r="F152">
        <v>26.25</v>
      </c>
      <c r="G152">
        <v>3.1</v>
      </c>
      <c r="H152">
        <v>93</v>
      </c>
    </row>
    <row r="153" spans="1:8" x14ac:dyDescent="0.25">
      <c r="A153" t="s">
        <v>583</v>
      </c>
      <c r="B153" t="s">
        <v>585</v>
      </c>
      <c r="C153" t="s">
        <v>26</v>
      </c>
      <c r="D153" t="s">
        <v>106</v>
      </c>
      <c r="E153" t="s">
        <v>372</v>
      </c>
      <c r="F153">
        <v>30</v>
      </c>
      <c r="G153">
        <v>3.6</v>
      </c>
      <c r="H153">
        <v>108</v>
      </c>
    </row>
    <row r="154" spans="1:8" x14ac:dyDescent="0.25">
      <c r="A154" t="s">
        <v>586</v>
      </c>
      <c r="B154" t="s">
        <v>588</v>
      </c>
      <c r="C154" t="s">
        <v>26</v>
      </c>
      <c r="D154" t="s">
        <v>106</v>
      </c>
      <c r="E154" t="s">
        <v>43</v>
      </c>
      <c r="F154">
        <v>30</v>
      </c>
      <c r="G154">
        <v>4.0999999999999996</v>
      </c>
      <c r="H154">
        <v>123</v>
      </c>
    </row>
    <row r="155" spans="1:8" x14ac:dyDescent="0.25">
      <c r="A155" t="s">
        <v>589</v>
      </c>
      <c r="B155" t="s">
        <v>591</v>
      </c>
      <c r="C155" t="s">
        <v>26</v>
      </c>
      <c r="D155" t="s">
        <v>106</v>
      </c>
      <c r="E155" t="s">
        <v>376</v>
      </c>
      <c r="F155">
        <v>33</v>
      </c>
      <c r="G155">
        <v>3.6</v>
      </c>
      <c r="H155">
        <v>118.8</v>
      </c>
    </row>
    <row r="156" spans="1:8" x14ac:dyDescent="0.25">
      <c r="A156" t="s">
        <v>592</v>
      </c>
      <c r="B156" t="s">
        <v>593</v>
      </c>
      <c r="C156" t="s">
        <v>26</v>
      </c>
      <c r="D156" t="s">
        <v>106</v>
      </c>
      <c r="E156" t="s">
        <v>376</v>
      </c>
      <c r="F156">
        <v>33</v>
      </c>
      <c r="G156">
        <v>3.8</v>
      </c>
      <c r="H156">
        <v>125.4</v>
      </c>
    </row>
    <row r="157" spans="1:8" x14ac:dyDescent="0.25">
      <c r="A157" t="s">
        <v>87</v>
      </c>
      <c r="B157" t="s">
        <v>89</v>
      </c>
      <c r="C157" t="s">
        <v>61</v>
      </c>
      <c r="D157" t="s">
        <v>19</v>
      </c>
      <c r="E157" t="s">
        <v>90</v>
      </c>
      <c r="F157">
        <v>30</v>
      </c>
      <c r="G157">
        <v>4.0999999999999996</v>
      </c>
      <c r="H157">
        <v>123</v>
      </c>
    </row>
    <row r="158" spans="1:8" x14ac:dyDescent="0.25">
      <c r="A158" t="s">
        <v>92</v>
      </c>
      <c r="B158" t="s">
        <v>93</v>
      </c>
      <c r="C158" t="s">
        <v>61</v>
      </c>
      <c r="D158" t="s">
        <v>19</v>
      </c>
      <c r="E158" t="s">
        <v>90</v>
      </c>
      <c r="F158">
        <v>30</v>
      </c>
      <c r="G158">
        <v>4.8</v>
      </c>
      <c r="H158">
        <v>144</v>
      </c>
    </row>
    <row r="159" spans="1:8" x14ac:dyDescent="0.25">
      <c r="A159" t="s">
        <v>94</v>
      </c>
      <c r="B159" t="s">
        <v>95</v>
      </c>
      <c r="C159" t="s">
        <v>61</v>
      </c>
      <c r="D159" t="s">
        <v>19</v>
      </c>
      <c r="E159" t="s">
        <v>90</v>
      </c>
      <c r="F159">
        <v>30</v>
      </c>
      <c r="G159">
        <v>5.9</v>
      </c>
      <c r="H159">
        <v>177</v>
      </c>
    </row>
    <row r="160" spans="1:8" x14ac:dyDescent="0.25">
      <c r="A160" t="s">
        <v>96</v>
      </c>
      <c r="B160" t="s">
        <v>97</v>
      </c>
      <c r="C160" t="s">
        <v>61</v>
      </c>
      <c r="D160" t="s">
        <v>19</v>
      </c>
      <c r="E160" t="s">
        <v>90</v>
      </c>
      <c r="F160">
        <v>30</v>
      </c>
      <c r="G160">
        <v>6.2</v>
      </c>
      <c r="H160">
        <v>186</v>
      </c>
    </row>
    <row r="161" spans="1:8" x14ac:dyDescent="0.25">
      <c r="A161" t="s">
        <v>32</v>
      </c>
      <c r="B161" t="s">
        <v>33</v>
      </c>
      <c r="C161" t="s">
        <v>26</v>
      </c>
      <c r="D161" t="s">
        <v>19</v>
      </c>
      <c r="E161" t="s">
        <v>25</v>
      </c>
      <c r="F161">
        <v>24</v>
      </c>
      <c r="G161">
        <v>3.5</v>
      </c>
      <c r="H161">
        <v>84</v>
      </c>
    </row>
    <row r="162" spans="1:8" x14ac:dyDescent="0.25">
      <c r="A162" t="s">
        <v>29</v>
      </c>
      <c r="B162" t="s">
        <v>31</v>
      </c>
      <c r="C162" t="s">
        <v>26</v>
      </c>
      <c r="D162" t="s">
        <v>19</v>
      </c>
      <c r="E162" t="s">
        <v>25</v>
      </c>
      <c r="F162">
        <v>24</v>
      </c>
      <c r="G162">
        <v>3.6</v>
      </c>
      <c r="H162">
        <v>86.4</v>
      </c>
    </row>
    <row r="163" spans="1:8" x14ac:dyDescent="0.25">
      <c r="A163" t="s">
        <v>27</v>
      </c>
      <c r="B163" t="s">
        <v>28</v>
      </c>
      <c r="C163" t="s">
        <v>26</v>
      </c>
      <c r="D163" t="s">
        <v>19</v>
      </c>
      <c r="E163" t="s">
        <v>25</v>
      </c>
      <c r="F163">
        <v>24</v>
      </c>
      <c r="G163">
        <v>3.5</v>
      </c>
      <c r="H163">
        <v>84</v>
      </c>
    </row>
    <row r="164" spans="1:8" x14ac:dyDescent="0.25">
      <c r="A164" t="s">
        <v>22</v>
      </c>
      <c r="B164" t="s">
        <v>24</v>
      </c>
      <c r="C164" t="s">
        <v>26</v>
      </c>
      <c r="D164" t="s">
        <v>19</v>
      </c>
      <c r="E164" t="s">
        <v>25</v>
      </c>
      <c r="F164">
        <v>24</v>
      </c>
      <c r="G164">
        <v>3.6</v>
      </c>
      <c r="H164">
        <v>86.4</v>
      </c>
    </row>
    <row r="165" spans="1:8" x14ac:dyDescent="0.25">
      <c r="A165" t="s">
        <v>595</v>
      </c>
      <c r="B165" t="s">
        <v>597</v>
      </c>
      <c r="C165" t="s">
        <v>26</v>
      </c>
      <c r="D165" t="s">
        <v>19</v>
      </c>
      <c r="E165" t="s">
        <v>294</v>
      </c>
      <c r="F165">
        <v>30</v>
      </c>
      <c r="G165">
        <v>3</v>
      </c>
      <c r="H165">
        <v>90</v>
      </c>
    </row>
    <row r="166" spans="1:8" x14ac:dyDescent="0.25">
      <c r="A166" t="s">
        <v>601</v>
      </c>
      <c r="B166" t="s">
        <v>603</v>
      </c>
      <c r="C166" t="s">
        <v>18</v>
      </c>
      <c r="D166" t="s">
        <v>19</v>
      </c>
      <c r="E166" t="s">
        <v>177</v>
      </c>
      <c r="F166">
        <v>40</v>
      </c>
      <c r="G166">
        <v>2.4</v>
      </c>
      <c r="H166">
        <v>96</v>
      </c>
    </row>
    <row r="167" spans="1:8" x14ac:dyDescent="0.25">
      <c r="A167" t="s">
        <v>598</v>
      </c>
      <c r="B167" t="s">
        <v>600</v>
      </c>
      <c r="C167" t="s">
        <v>38</v>
      </c>
      <c r="D167" t="s">
        <v>19</v>
      </c>
      <c r="E167" t="s">
        <v>421</v>
      </c>
      <c r="F167">
        <v>25</v>
      </c>
      <c r="G167">
        <v>2.4</v>
      </c>
      <c r="H167">
        <v>60</v>
      </c>
    </row>
    <row r="168" spans="1:8" x14ac:dyDescent="0.25">
      <c r="A168" t="s">
        <v>713</v>
      </c>
      <c r="B168" t="s">
        <v>715</v>
      </c>
      <c r="C168" t="s">
        <v>422</v>
      </c>
      <c r="D168" t="s">
        <v>19</v>
      </c>
      <c r="E168" t="s">
        <v>894</v>
      </c>
      <c r="F168">
        <v>25</v>
      </c>
      <c r="G168">
        <v>1.45</v>
      </c>
      <c r="H168">
        <v>36.25</v>
      </c>
    </row>
    <row r="169" spans="1:8" x14ac:dyDescent="0.25">
      <c r="A169" t="s">
        <v>556</v>
      </c>
      <c r="B169" t="s">
        <v>558</v>
      </c>
      <c r="C169" t="s">
        <v>26</v>
      </c>
      <c r="D169" t="s">
        <v>19</v>
      </c>
      <c r="E169" t="s">
        <v>372</v>
      </c>
      <c r="F169">
        <v>30</v>
      </c>
      <c r="G169">
        <v>1.9</v>
      </c>
      <c r="H169">
        <v>57</v>
      </c>
    </row>
    <row r="170" spans="1:8" x14ac:dyDescent="0.25">
      <c r="A170" t="s">
        <v>559</v>
      </c>
      <c r="B170" t="s">
        <v>560</v>
      </c>
      <c r="C170" t="s">
        <v>26</v>
      </c>
      <c r="D170" t="s">
        <v>19</v>
      </c>
      <c r="E170" t="s">
        <v>372</v>
      </c>
      <c r="F170">
        <v>30</v>
      </c>
      <c r="G170">
        <v>1.8</v>
      </c>
      <c r="H170">
        <v>54</v>
      </c>
    </row>
    <row r="171" spans="1:8" x14ac:dyDescent="0.25">
      <c r="A171" t="s">
        <v>428</v>
      </c>
      <c r="B171" t="s">
        <v>429</v>
      </c>
      <c r="C171" t="s">
        <v>422</v>
      </c>
      <c r="D171" t="s">
        <v>19</v>
      </c>
      <c r="E171" t="s">
        <v>421</v>
      </c>
      <c r="F171">
        <v>25</v>
      </c>
      <c r="G171">
        <v>1.7</v>
      </c>
      <c r="H171">
        <v>42.5</v>
      </c>
    </row>
    <row r="172" spans="1:8" x14ac:dyDescent="0.25">
      <c r="A172" t="s">
        <v>652</v>
      </c>
      <c r="B172" t="s">
        <v>654</v>
      </c>
      <c r="C172" t="s">
        <v>398</v>
      </c>
      <c r="D172" t="s">
        <v>19</v>
      </c>
      <c r="E172" t="s">
        <v>372</v>
      </c>
      <c r="F172">
        <v>30</v>
      </c>
      <c r="G172">
        <v>1.8</v>
      </c>
      <c r="H172">
        <v>54</v>
      </c>
    </row>
    <row r="173" spans="1:8" x14ac:dyDescent="0.25">
      <c r="A173" t="s">
        <v>553</v>
      </c>
      <c r="B173" t="s">
        <v>555</v>
      </c>
      <c r="C173" t="s">
        <v>26</v>
      </c>
      <c r="D173" t="s">
        <v>19</v>
      </c>
      <c r="E173" t="s">
        <v>372</v>
      </c>
      <c r="F173">
        <v>30</v>
      </c>
      <c r="G173">
        <v>1.8</v>
      </c>
      <c r="H173">
        <v>54</v>
      </c>
    </row>
    <row r="174" spans="1:8" x14ac:dyDescent="0.25">
      <c r="A174" t="s">
        <v>539</v>
      </c>
      <c r="B174" t="s">
        <v>541</v>
      </c>
      <c r="C174" t="s">
        <v>422</v>
      </c>
      <c r="D174" t="s">
        <v>19</v>
      </c>
      <c r="E174" t="s">
        <v>421</v>
      </c>
      <c r="F174">
        <v>25</v>
      </c>
      <c r="G174">
        <v>1.6</v>
      </c>
      <c r="H174">
        <v>40</v>
      </c>
    </row>
    <row r="175" spans="1:8" x14ac:dyDescent="0.25">
      <c r="A175" t="s">
        <v>542</v>
      </c>
      <c r="B175" t="s">
        <v>543</v>
      </c>
      <c r="C175" t="s">
        <v>422</v>
      </c>
      <c r="D175" t="s">
        <v>19</v>
      </c>
      <c r="E175" t="s">
        <v>421</v>
      </c>
      <c r="F175">
        <v>25</v>
      </c>
      <c r="G175">
        <v>1.7</v>
      </c>
      <c r="H175">
        <v>42.5</v>
      </c>
    </row>
    <row r="176" spans="1:8" x14ac:dyDescent="0.25">
      <c r="A176" t="s">
        <v>664</v>
      </c>
      <c r="B176" t="s">
        <v>666</v>
      </c>
      <c r="C176" t="s">
        <v>18</v>
      </c>
      <c r="D176" t="s">
        <v>19</v>
      </c>
      <c r="E176" t="s">
        <v>372</v>
      </c>
      <c r="F176">
        <v>30</v>
      </c>
      <c r="G176">
        <v>1.55</v>
      </c>
      <c r="H176">
        <v>46.5</v>
      </c>
    </row>
    <row r="177" spans="1:8" x14ac:dyDescent="0.25">
      <c r="A177" t="s">
        <v>658</v>
      </c>
      <c r="B177" t="s">
        <v>660</v>
      </c>
      <c r="C177" t="s">
        <v>26</v>
      </c>
      <c r="D177" t="s">
        <v>19</v>
      </c>
      <c r="E177" t="s">
        <v>372</v>
      </c>
      <c r="F177">
        <v>30</v>
      </c>
      <c r="G177">
        <v>2</v>
      </c>
      <c r="H177">
        <v>60</v>
      </c>
    </row>
    <row r="178" spans="1:8" x14ac:dyDescent="0.25">
      <c r="A178" t="s">
        <v>710</v>
      </c>
      <c r="B178" t="s">
        <v>712</v>
      </c>
      <c r="C178" t="s">
        <v>26</v>
      </c>
      <c r="D178" t="s">
        <v>19</v>
      </c>
      <c r="E178" t="s">
        <v>372</v>
      </c>
      <c r="F178">
        <v>30</v>
      </c>
      <c r="G178">
        <v>2.1</v>
      </c>
      <c r="H178">
        <v>63</v>
      </c>
    </row>
    <row r="179" spans="1:8" x14ac:dyDescent="0.25">
      <c r="A179" t="s">
        <v>661</v>
      </c>
      <c r="B179" t="s">
        <v>956</v>
      </c>
      <c r="C179" t="s">
        <v>957</v>
      </c>
      <c r="D179" t="s">
        <v>19</v>
      </c>
      <c r="E179" t="s">
        <v>376</v>
      </c>
      <c r="F179">
        <v>33</v>
      </c>
      <c r="G179">
        <v>1.8</v>
      </c>
      <c r="H179">
        <v>59.4</v>
      </c>
    </row>
    <row r="180" spans="1:8" x14ac:dyDescent="0.25">
      <c r="A180" t="s">
        <v>561</v>
      </c>
      <c r="B180" t="s">
        <v>958</v>
      </c>
      <c r="C180" t="s">
        <v>959</v>
      </c>
      <c r="D180" t="s">
        <v>19</v>
      </c>
      <c r="E180" t="s">
        <v>563</v>
      </c>
      <c r="F180">
        <v>60</v>
      </c>
      <c r="G180">
        <v>3.6</v>
      </c>
      <c r="H180">
        <v>216</v>
      </c>
    </row>
    <row r="181" spans="1:8" x14ac:dyDescent="0.25">
      <c r="A181" t="s">
        <v>834</v>
      </c>
      <c r="B181" t="s">
        <v>836</v>
      </c>
      <c r="C181" t="s">
        <v>26</v>
      </c>
      <c r="D181" t="s">
        <v>106</v>
      </c>
      <c r="E181" t="s">
        <v>116</v>
      </c>
      <c r="F181">
        <v>26.25</v>
      </c>
      <c r="G181">
        <v>1.1499999999999999</v>
      </c>
      <c r="H181">
        <v>69</v>
      </c>
    </row>
    <row r="182" spans="1:8" x14ac:dyDescent="0.25">
      <c r="A182" t="s">
        <v>565</v>
      </c>
      <c r="B182" t="s">
        <v>836</v>
      </c>
      <c r="C182" t="s">
        <v>960</v>
      </c>
      <c r="D182" t="s">
        <v>19</v>
      </c>
      <c r="E182" t="s">
        <v>568</v>
      </c>
      <c r="F182">
        <v>21</v>
      </c>
      <c r="G182">
        <v>2</v>
      </c>
      <c r="H182">
        <v>42</v>
      </c>
    </row>
    <row r="197" spans="1:8" x14ac:dyDescent="0.25">
      <c r="A197" t="s">
        <v>843</v>
      </c>
      <c r="B197" t="s">
        <v>845</v>
      </c>
      <c r="C197" t="s">
        <v>26</v>
      </c>
      <c r="D197" t="s">
        <v>19</v>
      </c>
      <c r="E197" t="s">
        <v>116</v>
      </c>
      <c r="F197">
        <v>26.25</v>
      </c>
      <c r="G197">
        <v>1.1499999999999999</v>
      </c>
      <c r="H197">
        <v>69</v>
      </c>
    </row>
    <row r="198" spans="1:8" x14ac:dyDescent="0.25">
      <c r="A198" t="s">
        <v>868</v>
      </c>
      <c r="B198" t="s">
        <v>870</v>
      </c>
      <c r="C198" t="s">
        <v>26</v>
      </c>
      <c r="D198" t="s">
        <v>106</v>
      </c>
      <c r="E198" t="s">
        <v>116</v>
      </c>
      <c r="F198">
        <v>26.25</v>
      </c>
      <c r="G198">
        <v>1.3</v>
      </c>
      <c r="H198">
        <v>78</v>
      </c>
    </row>
    <row r="199" spans="1:8" x14ac:dyDescent="0.25">
      <c r="A199" t="s">
        <v>871</v>
      </c>
      <c r="B199" t="s">
        <v>873</v>
      </c>
      <c r="C199" t="s">
        <v>26</v>
      </c>
      <c r="D199" t="s">
        <v>19</v>
      </c>
      <c r="E199" t="s">
        <v>874</v>
      </c>
      <c r="F199">
        <v>18</v>
      </c>
      <c r="G199">
        <v>1.3</v>
      </c>
      <c r="H199">
        <v>31.2</v>
      </c>
    </row>
    <row r="200" spans="1:8" x14ac:dyDescent="0.25">
      <c r="A200" t="s">
        <v>737</v>
      </c>
      <c r="B200" t="s">
        <v>739</v>
      </c>
      <c r="C200" t="s">
        <v>26</v>
      </c>
      <c r="D200" t="s">
        <v>19</v>
      </c>
      <c r="E200" t="s">
        <v>537</v>
      </c>
      <c r="F200">
        <v>30</v>
      </c>
      <c r="G200">
        <v>2.9</v>
      </c>
      <c r="H200">
        <v>174</v>
      </c>
    </row>
    <row r="201" spans="1:8" x14ac:dyDescent="0.25">
      <c r="A201" t="s">
        <v>878</v>
      </c>
      <c r="B201" t="s">
        <v>880</v>
      </c>
      <c r="C201" t="s">
        <v>26</v>
      </c>
      <c r="D201" t="s">
        <v>19</v>
      </c>
      <c r="E201" t="s">
        <v>881</v>
      </c>
      <c r="F201">
        <v>10</v>
      </c>
      <c r="G201">
        <v>1.3</v>
      </c>
      <c r="H201">
        <v>52</v>
      </c>
    </row>
    <row r="202" spans="1:8" x14ac:dyDescent="0.25">
      <c r="A202" t="s">
        <v>855</v>
      </c>
      <c r="B202" t="s">
        <v>857</v>
      </c>
      <c r="C202" t="s">
        <v>26</v>
      </c>
      <c r="D202" t="s">
        <v>19</v>
      </c>
      <c r="E202" t="s">
        <v>849</v>
      </c>
      <c r="F202">
        <v>40</v>
      </c>
      <c r="G202">
        <v>4.2</v>
      </c>
      <c r="H202">
        <v>168</v>
      </c>
    </row>
    <row r="203" spans="1:8" x14ac:dyDescent="0.25">
      <c r="A203" t="s">
        <v>852</v>
      </c>
      <c r="B203" t="s">
        <v>854</v>
      </c>
      <c r="C203" t="s">
        <v>26</v>
      </c>
      <c r="D203" t="s">
        <v>19</v>
      </c>
      <c r="E203" t="s">
        <v>849</v>
      </c>
      <c r="F203">
        <v>40</v>
      </c>
      <c r="G203">
        <v>3.6</v>
      </c>
      <c r="H203">
        <v>144</v>
      </c>
    </row>
    <row r="204" spans="1:8" x14ac:dyDescent="0.25">
      <c r="A204" t="s">
        <v>850</v>
      </c>
      <c r="B204" t="s">
        <v>851</v>
      </c>
      <c r="C204" t="s">
        <v>26</v>
      </c>
      <c r="D204" t="s">
        <v>19</v>
      </c>
      <c r="E204" t="s">
        <v>849</v>
      </c>
      <c r="F204">
        <v>40</v>
      </c>
      <c r="G204">
        <v>3.5</v>
      </c>
      <c r="H204">
        <v>140</v>
      </c>
    </row>
    <row r="262" spans="1:8" x14ac:dyDescent="0.25">
      <c r="A262" t="s">
        <v>969</v>
      </c>
      <c r="C262" t="s">
        <v>920</v>
      </c>
      <c r="D262" t="s">
        <v>921</v>
      </c>
      <c r="G262" t="s">
        <v>922</v>
      </c>
      <c r="H262" t="s">
        <v>961</v>
      </c>
    </row>
    <row r="263" spans="1:8" x14ac:dyDescent="0.25">
      <c r="A263" t="s">
        <v>970</v>
      </c>
      <c r="C263" t="s">
        <v>925</v>
      </c>
      <c r="D263" t="s">
        <v>926</v>
      </c>
      <c r="G263" t="s">
        <v>927</v>
      </c>
      <c r="H263" t="s">
        <v>971</v>
      </c>
    </row>
    <row r="265" spans="1:8" x14ac:dyDescent="0.25">
      <c r="A265" t="s">
        <v>929</v>
      </c>
      <c r="B265" t="s">
        <v>930</v>
      </c>
      <c r="C265" t="s">
        <v>931</v>
      </c>
      <c r="D265" t="s">
        <v>932</v>
      </c>
      <c r="E265" t="s">
        <v>933</v>
      </c>
      <c r="F265" t="s">
        <v>934</v>
      </c>
      <c r="G265" t="s">
        <v>935</v>
      </c>
      <c r="H265" t="s">
        <v>936</v>
      </c>
    </row>
    <row r="267" spans="1:8" x14ac:dyDescent="0.25">
      <c r="A267" t="s">
        <v>846</v>
      </c>
      <c r="B267" t="s">
        <v>848</v>
      </c>
      <c r="C267" t="s">
        <v>26</v>
      </c>
      <c r="D267" t="s">
        <v>19</v>
      </c>
      <c r="E267" t="s">
        <v>849</v>
      </c>
      <c r="F267">
        <v>40</v>
      </c>
      <c r="G267">
        <v>3.5</v>
      </c>
      <c r="H267">
        <v>140</v>
      </c>
    </row>
    <row r="268" spans="1:8" x14ac:dyDescent="0.25">
      <c r="A268" t="s">
        <v>531</v>
      </c>
      <c r="B268" t="s">
        <v>533</v>
      </c>
      <c r="C268" t="s">
        <v>18</v>
      </c>
      <c r="D268" t="s">
        <v>19</v>
      </c>
      <c r="E268" t="s">
        <v>534</v>
      </c>
      <c r="F268">
        <v>44</v>
      </c>
      <c r="G268">
        <v>4.6500000000000004</v>
      </c>
      <c r="H268">
        <v>204.6</v>
      </c>
    </row>
    <row r="269" spans="1:8" x14ac:dyDescent="0.25">
      <c r="A269" t="s">
        <v>535</v>
      </c>
      <c r="B269" t="s">
        <v>536</v>
      </c>
      <c r="C269" t="s">
        <v>18</v>
      </c>
      <c r="D269" t="s">
        <v>19</v>
      </c>
      <c r="E269" t="s">
        <v>537</v>
      </c>
      <c r="F269">
        <v>30</v>
      </c>
      <c r="G269">
        <v>3.4</v>
      </c>
      <c r="H269">
        <v>204</v>
      </c>
    </row>
    <row r="270" spans="1:8" x14ac:dyDescent="0.25">
      <c r="A270" t="s">
        <v>824</v>
      </c>
      <c r="B270" t="s">
        <v>826</v>
      </c>
      <c r="C270" t="s">
        <v>26</v>
      </c>
      <c r="D270" t="s">
        <v>19</v>
      </c>
      <c r="E270" t="s">
        <v>17</v>
      </c>
      <c r="F270">
        <v>26.25</v>
      </c>
      <c r="G270">
        <v>2.8</v>
      </c>
      <c r="H270">
        <v>84</v>
      </c>
    </row>
    <row r="271" spans="1:8" x14ac:dyDescent="0.25">
      <c r="A271" t="s">
        <v>830</v>
      </c>
      <c r="B271" t="s">
        <v>832</v>
      </c>
      <c r="C271" t="s">
        <v>26</v>
      </c>
      <c r="D271" t="s">
        <v>19</v>
      </c>
      <c r="E271" t="s">
        <v>17</v>
      </c>
      <c r="F271">
        <v>26.25</v>
      </c>
      <c r="G271">
        <v>2.8</v>
      </c>
      <c r="H271">
        <v>84</v>
      </c>
    </row>
    <row r="272" spans="1:8" x14ac:dyDescent="0.25">
      <c r="A272" t="s">
        <v>827</v>
      </c>
      <c r="B272" t="s">
        <v>829</v>
      </c>
      <c r="C272" t="s">
        <v>26</v>
      </c>
      <c r="D272" t="s">
        <v>19</v>
      </c>
      <c r="E272" t="s">
        <v>17</v>
      </c>
      <c r="F272">
        <v>26.25</v>
      </c>
      <c r="G272">
        <v>2.5499999999999998</v>
      </c>
      <c r="H272">
        <v>76.5</v>
      </c>
    </row>
    <row r="273" spans="1:8" x14ac:dyDescent="0.25">
      <c r="A273" t="s">
        <v>14</v>
      </c>
      <c r="B273" t="s">
        <v>16</v>
      </c>
      <c r="C273" t="s">
        <v>18</v>
      </c>
      <c r="D273" t="s">
        <v>19</v>
      </c>
      <c r="E273" t="s">
        <v>17</v>
      </c>
      <c r="F273">
        <v>26.25</v>
      </c>
      <c r="G273">
        <v>3.25</v>
      </c>
      <c r="H273">
        <v>97.5</v>
      </c>
    </row>
    <row r="274" spans="1:8" x14ac:dyDescent="0.25">
      <c r="A274" t="s">
        <v>68</v>
      </c>
      <c r="B274" t="s">
        <v>70</v>
      </c>
      <c r="C274" t="s">
        <v>18</v>
      </c>
      <c r="D274" t="s">
        <v>19</v>
      </c>
      <c r="E274" t="s">
        <v>71</v>
      </c>
      <c r="F274">
        <v>50</v>
      </c>
      <c r="G274">
        <v>3.4</v>
      </c>
      <c r="H274">
        <v>170</v>
      </c>
    </row>
    <row r="275" spans="1:8" x14ac:dyDescent="0.25">
      <c r="A275" t="s">
        <v>75</v>
      </c>
      <c r="B275" t="s">
        <v>77</v>
      </c>
      <c r="C275" t="s">
        <v>18</v>
      </c>
      <c r="D275" t="s">
        <v>19</v>
      </c>
      <c r="E275" t="s">
        <v>71</v>
      </c>
      <c r="F275">
        <v>50</v>
      </c>
      <c r="G275">
        <v>3.7</v>
      </c>
      <c r="H275">
        <v>185</v>
      </c>
    </row>
    <row r="276" spans="1:8" x14ac:dyDescent="0.25">
      <c r="A276" t="s">
        <v>72</v>
      </c>
      <c r="B276" t="s">
        <v>74</v>
      </c>
      <c r="C276" t="s">
        <v>18</v>
      </c>
      <c r="D276" t="s">
        <v>19</v>
      </c>
      <c r="E276" t="s">
        <v>17</v>
      </c>
      <c r="F276">
        <v>26.25</v>
      </c>
      <c r="G276">
        <v>3.7</v>
      </c>
      <c r="H276">
        <v>111</v>
      </c>
    </row>
    <row r="277" spans="1:8" x14ac:dyDescent="0.25">
      <c r="A277" t="s">
        <v>83</v>
      </c>
      <c r="B277" t="s">
        <v>79</v>
      </c>
      <c r="C277" t="s">
        <v>962</v>
      </c>
      <c r="D277" t="s">
        <v>19</v>
      </c>
      <c r="E277" t="s">
        <v>17</v>
      </c>
      <c r="F277">
        <v>26.25</v>
      </c>
      <c r="G277">
        <v>3.8</v>
      </c>
      <c r="H277">
        <v>114</v>
      </c>
    </row>
    <row r="278" spans="1:8" x14ac:dyDescent="0.25">
      <c r="A278" t="s">
        <v>85</v>
      </c>
      <c r="B278" t="s">
        <v>79</v>
      </c>
      <c r="C278" t="s">
        <v>963</v>
      </c>
      <c r="D278" t="s">
        <v>19</v>
      </c>
      <c r="E278" t="s">
        <v>17</v>
      </c>
      <c r="F278">
        <v>26.25</v>
      </c>
      <c r="G278">
        <v>3.8</v>
      </c>
      <c r="H278">
        <v>114</v>
      </c>
    </row>
    <row r="279" spans="1:8" x14ac:dyDescent="0.25">
      <c r="A279" t="s">
        <v>80</v>
      </c>
      <c r="B279" t="s">
        <v>81</v>
      </c>
      <c r="C279" t="s">
        <v>61</v>
      </c>
      <c r="D279" t="s">
        <v>19</v>
      </c>
      <c r="E279" t="s">
        <v>17</v>
      </c>
      <c r="F279">
        <v>27</v>
      </c>
      <c r="G279">
        <v>3.8</v>
      </c>
      <c r="H279">
        <v>114</v>
      </c>
    </row>
    <row r="280" spans="1:8" x14ac:dyDescent="0.25">
      <c r="A280" t="s">
        <v>40</v>
      </c>
      <c r="B280" t="s">
        <v>42</v>
      </c>
      <c r="C280" t="s">
        <v>18</v>
      </c>
      <c r="D280" t="s">
        <v>19</v>
      </c>
      <c r="E280" t="s">
        <v>43</v>
      </c>
      <c r="F280">
        <v>30</v>
      </c>
      <c r="G280">
        <v>3.2</v>
      </c>
      <c r="H280">
        <v>96</v>
      </c>
    </row>
    <row r="281" spans="1:8" x14ac:dyDescent="0.25">
      <c r="A281" t="s">
        <v>55</v>
      </c>
      <c r="B281" t="s">
        <v>57</v>
      </c>
      <c r="C281" t="s">
        <v>18</v>
      </c>
      <c r="D281" t="s">
        <v>19</v>
      </c>
      <c r="E281" t="s">
        <v>17</v>
      </c>
      <c r="F281">
        <v>26.25</v>
      </c>
      <c r="G281">
        <v>2.85</v>
      </c>
      <c r="H281">
        <v>85.5</v>
      </c>
    </row>
    <row r="282" spans="1:8" x14ac:dyDescent="0.25">
      <c r="A282" t="s">
        <v>98</v>
      </c>
      <c r="B282" t="s">
        <v>99</v>
      </c>
      <c r="C282" t="s">
        <v>100</v>
      </c>
      <c r="D282" t="s">
        <v>19</v>
      </c>
      <c r="E282" t="s">
        <v>43</v>
      </c>
      <c r="F282">
        <v>30</v>
      </c>
      <c r="G282">
        <v>4.2</v>
      </c>
      <c r="H282">
        <v>126</v>
      </c>
    </row>
    <row r="283" spans="1:8" x14ac:dyDescent="0.25">
      <c r="A283" t="s">
        <v>44</v>
      </c>
      <c r="B283" t="s">
        <v>46</v>
      </c>
      <c r="C283" t="s">
        <v>38</v>
      </c>
      <c r="D283" t="s">
        <v>19</v>
      </c>
      <c r="E283" t="s">
        <v>47</v>
      </c>
      <c r="F283">
        <v>36</v>
      </c>
      <c r="G283">
        <v>2.7</v>
      </c>
      <c r="H283">
        <v>97.2</v>
      </c>
    </row>
    <row r="284" spans="1:8" x14ac:dyDescent="0.25">
      <c r="A284" t="s">
        <v>34</v>
      </c>
      <c r="B284" t="s">
        <v>36</v>
      </c>
      <c r="C284" t="s">
        <v>38</v>
      </c>
      <c r="D284" t="s">
        <v>19</v>
      </c>
      <c r="E284" t="s">
        <v>37</v>
      </c>
      <c r="F284">
        <v>22</v>
      </c>
      <c r="G284">
        <v>3.2</v>
      </c>
      <c r="H284">
        <v>70.56</v>
      </c>
    </row>
    <row r="285" spans="1:8" x14ac:dyDescent="0.25">
      <c r="A285" t="s">
        <v>58</v>
      </c>
      <c r="B285" t="s">
        <v>60</v>
      </c>
      <c r="C285" t="s">
        <v>61</v>
      </c>
      <c r="D285" t="s">
        <v>19</v>
      </c>
      <c r="E285" t="s">
        <v>43</v>
      </c>
      <c r="F285">
        <v>30</v>
      </c>
      <c r="G285">
        <v>8.3000000000000007</v>
      </c>
      <c r="H285">
        <v>249</v>
      </c>
    </row>
    <row r="286" spans="1:8" x14ac:dyDescent="0.25">
      <c r="A286" t="s">
        <v>636</v>
      </c>
      <c r="B286" t="s">
        <v>637</v>
      </c>
      <c r="C286" t="s">
        <v>312</v>
      </c>
      <c r="D286" t="s">
        <v>106</v>
      </c>
      <c r="E286" t="s">
        <v>177</v>
      </c>
      <c r="F286">
        <v>40</v>
      </c>
      <c r="G286">
        <v>2.95</v>
      </c>
      <c r="H286">
        <v>118</v>
      </c>
    </row>
    <row r="287" spans="1:8" x14ac:dyDescent="0.25">
      <c r="A287" t="s">
        <v>638</v>
      </c>
      <c r="B287" t="s">
        <v>639</v>
      </c>
      <c r="C287" t="s">
        <v>312</v>
      </c>
      <c r="D287" t="s">
        <v>106</v>
      </c>
      <c r="E287" t="s">
        <v>177</v>
      </c>
      <c r="F287">
        <v>40</v>
      </c>
      <c r="G287">
        <v>3</v>
      </c>
      <c r="H287">
        <v>120</v>
      </c>
    </row>
    <row r="288" spans="1:8" x14ac:dyDescent="0.25">
      <c r="A288" t="s">
        <v>633</v>
      </c>
      <c r="B288" t="s">
        <v>635</v>
      </c>
      <c r="C288" t="s">
        <v>312</v>
      </c>
      <c r="D288" t="s">
        <v>106</v>
      </c>
      <c r="E288" t="s">
        <v>177</v>
      </c>
      <c r="F288">
        <v>40</v>
      </c>
      <c r="G288">
        <v>3</v>
      </c>
      <c r="H288">
        <v>120</v>
      </c>
    </row>
    <row r="289" spans="1:8" x14ac:dyDescent="0.25">
      <c r="A289" t="s">
        <v>416</v>
      </c>
      <c r="B289" t="s">
        <v>418</v>
      </c>
      <c r="C289" t="s">
        <v>18</v>
      </c>
      <c r="D289" t="s">
        <v>106</v>
      </c>
      <c r="E289" t="s">
        <v>320</v>
      </c>
      <c r="F289">
        <v>40</v>
      </c>
      <c r="G289">
        <v>3.4</v>
      </c>
      <c r="H289">
        <v>136</v>
      </c>
    </row>
    <row r="290" spans="1:8" x14ac:dyDescent="0.25">
      <c r="A290" t="s">
        <v>674</v>
      </c>
      <c r="B290" t="s">
        <v>675</v>
      </c>
      <c r="C290" t="s">
        <v>219</v>
      </c>
      <c r="D290" t="s">
        <v>19</v>
      </c>
      <c r="E290" t="s">
        <v>912</v>
      </c>
      <c r="F290">
        <v>22</v>
      </c>
      <c r="G290">
        <v>2.65</v>
      </c>
      <c r="H290">
        <v>58.3</v>
      </c>
    </row>
    <row r="291" spans="1:8" x14ac:dyDescent="0.25">
      <c r="A291" t="s">
        <v>671</v>
      </c>
      <c r="B291" t="s">
        <v>673</v>
      </c>
      <c r="C291" t="s">
        <v>100</v>
      </c>
      <c r="D291" t="s">
        <v>19</v>
      </c>
      <c r="E291" t="s">
        <v>43</v>
      </c>
      <c r="F291">
        <v>30</v>
      </c>
      <c r="G291">
        <v>3.4</v>
      </c>
      <c r="H291">
        <v>102</v>
      </c>
    </row>
    <row r="292" spans="1:8" x14ac:dyDescent="0.25">
      <c r="A292" t="s">
        <v>720</v>
      </c>
      <c r="B292" t="s">
        <v>722</v>
      </c>
      <c r="C292" t="s">
        <v>724</v>
      </c>
      <c r="D292" t="s">
        <v>19</v>
      </c>
      <c r="E292" t="s">
        <v>723</v>
      </c>
      <c r="F292">
        <v>22</v>
      </c>
      <c r="G292">
        <v>3.7</v>
      </c>
      <c r="H292">
        <v>81.59</v>
      </c>
    </row>
    <row r="293" spans="1:8" x14ac:dyDescent="0.25">
      <c r="A293" t="s">
        <v>509</v>
      </c>
      <c r="B293" t="s">
        <v>511</v>
      </c>
      <c r="C293" t="s">
        <v>26</v>
      </c>
      <c r="D293" t="s">
        <v>19</v>
      </c>
      <c r="E293" t="s">
        <v>17</v>
      </c>
      <c r="F293">
        <v>26.25</v>
      </c>
      <c r="G293">
        <v>3.9</v>
      </c>
      <c r="H293">
        <v>117</v>
      </c>
    </row>
    <row r="294" spans="1:8" x14ac:dyDescent="0.25">
      <c r="A294" t="s">
        <v>750</v>
      </c>
      <c r="B294" t="s">
        <v>752</v>
      </c>
      <c r="C294" t="s">
        <v>61</v>
      </c>
      <c r="D294" t="s">
        <v>19</v>
      </c>
      <c r="E294" t="s">
        <v>376</v>
      </c>
      <c r="F294">
        <v>33</v>
      </c>
      <c r="G294">
        <v>3</v>
      </c>
      <c r="H294">
        <v>99</v>
      </c>
    </row>
    <row r="295" spans="1:8" x14ac:dyDescent="0.25">
      <c r="A295" t="s">
        <v>503</v>
      </c>
      <c r="B295" t="s">
        <v>505</v>
      </c>
      <c r="C295" t="s">
        <v>26</v>
      </c>
      <c r="D295" t="s">
        <v>19</v>
      </c>
      <c r="E295" t="s">
        <v>116</v>
      </c>
      <c r="F295">
        <v>26.25</v>
      </c>
      <c r="G295">
        <v>2</v>
      </c>
      <c r="H295">
        <v>120</v>
      </c>
    </row>
    <row r="296" spans="1:8" x14ac:dyDescent="0.25">
      <c r="A296" t="s">
        <v>506</v>
      </c>
      <c r="B296" t="s">
        <v>508</v>
      </c>
      <c r="C296" t="s">
        <v>26</v>
      </c>
      <c r="D296" t="s">
        <v>19</v>
      </c>
      <c r="E296" t="s">
        <v>372</v>
      </c>
      <c r="F296">
        <v>30</v>
      </c>
      <c r="G296">
        <v>4.0999999999999996</v>
      </c>
      <c r="H296">
        <v>123</v>
      </c>
    </row>
    <row r="297" spans="1:8" x14ac:dyDescent="0.25">
      <c r="A297" t="s">
        <v>744</v>
      </c>
      <c r="B297" t="s">
        <v>746</v>
      </c>
      <c r="C297" t="s">
        <v>61</v>
      </c>
      <c r="D297" t="s">
        <v>19</v>
      </c>
      <c r="E297" t="s">
        <v>372</v>
      </c>
      <c r="F297">
        <v>30</v>
      </c>
      <c r="G297">
        <v>2.4</v>
      </c>
      <c r="H297">
        <v>72</v>
      </c>
    </row>
    <row r="298" spans="1:8" x14ac:dyDescent="0.25">
      <c r="A298" t="s">
        <v>545</v>
      </c>
      <c r="B298" t="s">
        <v>547</v>
      </c>
      <c r="C298" t="s">
        <v>422</v>
      </c>
      <c r="D298" t="s">
        <v>19</v>
      </c>
      <c r="E298" t="s">
        <v>421</v>
      </c>
      <c r="F298">
        <v>25</v>
      </c>
      <c r="G298">
        <v>2.2999999999999998</v>
      </c>
      <c r="H298">
        <v>57.5</v>
      </c>
    </row>
    <row r="299" spans="1:8" x14ac:dyDescent="0.25">
      <c r="A299" t="s">
        <v>411</v>
      </c>
      <c r="B299" t="s">
        <v>413</v>
      </c>
      <c r="C299" t="s">
        <v>312</v>
      </c>
      <c r="D299" t="s">
        <v>106</v>
      </c>
      <c r="E299" t="s">
        <v>177</v>
      </c>
      <c r="F299">
        <v>40</v>
      </c>
      <c r="G299">
        <v>3.1</v>
      </c>
      <c r="H299">
        <v>124</v>
      </c>
    </row>
    <row r="300" spans="1:8" x14ac:dyDescent="0.25">
      <c r="A300" t="s">
        <v>414</v>
      </c>
      <c r="B300" t="s">
        <v>415</v>
      </c>
      <c r="C300" t="s">
        <v>312</v>
      </c>
      <c r="D300" t="s">
        <v>106</v>
      </c>
      <c r="E300" t="s">
        <v>177</v>
      </c>
      <c r="F300">
        <v>40</v>
      </c>
      <c r="G300">
        <v>3.2</v>
      </c>
      <c r="H300">
        <v>128</v>
      </c>
    </row>
    <row r="301" spans="1:8" x14ac:dyDescent="0.25">
      <c r="A301" t="s">
        <v>457</v>
      </c>
      <c r="B301" t="s">
        <v>459</v>
      </c>
      <c r="C301" t="s">
        <v>26</v>
      </c>
      <c r="D301" t="s">
        <v>19</v>
      </c>
      <c r="E301" t="s">
        <v>294</v>
      </c>
      <c r="F301">
        <v>30</v>
      </c>
      <c r="G301">
        <v>3.4</v>
      </c>
      <c r="H301">
        <v>102</v>
      </c>
    </row>
    <row r="302" spans="1:8" x14ac:dyDescent="0.25">
      <c r="A302" t="s">
        <v>697</v>
      </c>
      <c r="B302" t="s">
        <v>699</v>
      </c>
      <c r="C302" t="s">
        <v>398</v>
      </c>
      <c r="D302" t="s">
        <v>19</v>
      </c>
      <c r="E302" t="s">
        <v>372</v>
      </c>
      <c r="F302">
        <v>30</v>
      </c>
      <c r="G302">
        <v>3.5</v>
      </c>
      <c r="H302">
        <v>105</v>
      </c>
    </row>
    <row r="303" spans="1:8" x14ac:dyDescent="0.25">
      <c r="A303" t="s">
        <v>740</v>
      </c>
      <c r="B303" t="s">
        <v>741</v>
      </c>
      <c r="C303" t="s">
        <v>398</v>
      </c>
      <c r="D303" t="s">
        <v>19</v>
      </c>
      <c r="E303" t="s">
        <v>372</v>
      </c>
      <c r="F303">
        <v>30</v>
      </c>
      <c r="G303">
        <v>3</v>
      </c>
      <c r="H303">
        <v>90</v>
      </c>
    </row>
    <row r="304" spans="1:8" x14ac:dyDescent="0.25">
      <c r="A304" t="s">
        <v>473</v>
      </c>
      <c r="B304" t="s">
        <v>474</v>
      </c>
      <c r="C304" t="s">
        <v>61</v>
      </c>
      <c r="D304" t="s">
        <v>19</v>
      </c>
      <c r="E304" t="s">
        <v>376</v>
      </c>
      <c r="F304">
        <v>33</v>
      </c>
      <c r="G304">
        <v>2.6</v>
      </c>
      <c r="H304">
        <v>85.8</v>
      </c>
    </row>
    <row r="305" spans="1:8" x14ac:dyDescent="0.25">
      <c r="A305" t="s">
        <v>475</v>
      </c>
      <c r="B305" t="s">
        <v>476</v>
      </c>
      <c r="C305" t="s">
        <v>61</v>
      </c>
      <c r="D305" t="s">
        <v>19</v>
      </c>
      <c r="E305" t="s">
        <v>376</v>
      </c>
      <c r="F305">
        <v>33</v>
      </c>
      <c r="G305">
        <v>2.7</v>
      </c>
      <c r="H305">
        <v>89.1</v>
      </c>
    </row>
    <row r="306" spans="1:8" x14ac:dyDescent="0.25">
      <c r="A306" t="s">
        <v>470</v>
      </c>
      <c r="B306" t="s">
        <v>472</v>
      </c>
      <c r="C306" t="s">
        <v>26</v>
      </c>
      <c r="D306" t="s">
        <v>19</v>
      </c>
      <c r="E306" t="s">
        <v>376</v>
      </c>
      <c r="F306">
        <v>33</v>
      </c>
      <c r="G306">
        <v>2.8</v>
      </c>
      <c r="H306">
        <v>92.4</v>
      </c>
    </row>
    <row r="307" spans="1:8" x14ac:dyDescent="0.25">
      <c r="A307" t="s">
        <v>609</v>
      </c>
      <c r="B307" t="s">
        <v>610</v>
      </c>
      <c r="C307" t="s">
        <v>26</v>
      </c>
      <c r="D307" t="s">
        <v>19</v>
      </c>
      <c r="E307" t="s">
        <v>376</v>
      </c>
      <c r="F307">
        <v>33</v>
      </c>
      <c r="G307">
        <v>3.35</v>
      </c>
      <c r="H307">
        <v>110.55</v>
      </c>
    </row>
    <row r="308" spans="1:8" x14ac:dyDescent="0.25">
      <c r="A308" t="s">
        <v>611</v>
      </c>
      <c r="B308" t="s">
        <v>612</v>
      </c>
      <c r="C308" t="s">
        <v>61</v>
      </c>
      <c r="D308" t="s">
        <v>19</v>
      </c>
      <c r="E308" t="s">
        <v>376</v>
      </c>
      <c r="F308">
        <v>33</v>
      </c>
      <c r="G308">
        <v>3.55</v>
      </c>
      <c r="H308">
        <v>117.15</v>
      </c>
    </row>
    <row r="309" spans="1:8" x14ac:dyDescent="0.25">
      <c r="A309" t="s">
        <v>605</v>
      </c>
      <c r="B309" t="s">
        <v>607</v>
      </c>
      <c r="C309" t="s">
        <v>608</v>
      </c>
      <c r="D309" t="s">
        <v>19</v>
      </c>
      <c r="E309" t="s">
        <v>376</v>
      </c>
      <c r="F309">
        <v>33</v>
      </c>
      <c r="G309">
        <v>3.85</v>
      </c>
      <c r="H309">
        <v>127.05</v>
      </c>
    </row>
    <row r="310" spans="1:8" x14ac:dyDescent="0.25">
      <c r="A310" t="s">
        <v>452</v>
      </c>
      <c r="B310" t="s">
        <v>454</v>
      </c>
      <c r="C310" t="s">
        <v>18</v>
      </c>
      <c r="D310" t="s">
        <v>106</v>
      </c>
      <c r="E310" t="s">
        <v>299</v>
      </c>
      <c r="F310">
        <v>10</v>
      </c>
      <c r="G310">
        <v>4</v>
      </c>
      <c r="H310">
        <v>40</v>
      </c>
    </row>
    <row r="311" spans="1:8" x14ac:dyDescent="0.25">
      <c r="A311" t="s">
        <v>677</v>
      </c>
      <c r="B311" t="s">
        <v>679</v>
      </c>
      <c r="C311" t="s">
        <v>61</v>
      </c>
      <c r="D311" t="s">
        <v>19</v>
      </c>
      <c r="E311" t="s">
        <v>376</v>
      </c>
      <c r="F311">
        <v>33</v>
      </c>
      <c r="G311">
        <v>5.3</v>
      </c>
      <c r="H311">
        <v>174.9</v>
      </c>
    </row>
    <row r="312" spans="1:8" x14ac:dyDescent="0.25">
      <c r="A312" t="s">
        <v>680</v>
      </c>
      <c r="B312" t="s">
        <v>681</v>
      </c>
      <c r="C312" t="s">
        <v>61</v>
      </c>
      <c r="D312" t="s">
        <v>19</v>
      </c>
      <c r="E312" t="s">
        <v>376</v>
      </c>
      <c r="F312">
        <v>33</v>
      </c>
      <c r="G312">
        <v>5.3</v>
      </c>
      <c r="H312">
        <v>174.9</v>
      </c>
    </row>
    <row r="327" spans="1:8" x14ac:dyDescent="0.25">
      <c r="A327" t="s">
        <v>682</v>
      </c>
      <c r="B327" t="s">
        <v>683</v>
      </c>
      <c r="C327" t="s">
        <v>26</v>
      </c>
      <c r="D327" t="s">
        <v>19</v>
      </c>
      <c r="E327" t="s">
        <v>376</v>
      </c>
      <c r="F327">
        <v>33</v>
      </c>
      <c r="G327">
        <v>5.4</v>
      </c>
      <c r="H327">
        <v>178.2</v>
      </c>
    </row>
    <row r="328" spans="1:8" x14ac:dyDescent="0.25">
      <c r="A328" t="s">
        <v>684</v>
      </c>
      <c r="B328" t="s">
        <v>685</v>
      </c>
      <c r="C328" t="s">
        <v>61</v>
      </c>
      <c r="D328" t="s">
        <v>19</v>
      </c>
      <c r="E328" t="s">
        <v>376</v>
      </c>
      <c r="F328">
        <v>33</v>
      </c>
      <c r="G328">
        <v>5.4</v>
      </c>
      <c r="H328">
        <v>178.2</v>
      </c>
    </row>
    <row r="329" spans="1:8" x14ac:dyDescent="0.25">
      <c r="A329" t="s">
        <v>513</v>
      </c>
      <c r="B329" t="s">
        <v>515</v>
      </c>
      <c r="C329" t="s">
        <v>26</v>
      </c>
      <c r="D329" t="s">
        <v>19</v>
      </c>
      <c r="E329" t="s">
        <v>376</v>
      </c>
      <c r="F329">
        <v>33</v>
      </c>
      <c r="G329">
        <v>5.7</v>
      </c>
      <c r="H329">
        <v>188.1</v>
      </c>
    </row>
    <row r="330" spans="1:8" x14ac:dyDescent="0.25">
      <c r="A330" t="s">
        <v>369</v>
      </c>
      <c r="B330" t="s">
        <v>371</v>
      </c>
      <c r="C330" t="s">
        <v>26</v>
      </c>
      <c r="D330" t="s">
        <v>106</v>
      </c>
      <c r="E330" t="s">
        <v>372</v>
      </c>
      <c r="F330">
        <v>30</v>
      </c>
      <c r="G330">
        <v>2.6</v>
      </c>
      <c r="H330">
        <v>78</v>
      </c>
    </row>
    <row r="331" spans="1:8" x14ac:dyDescent="0.25">
      <c r="A331" t="s">
        <v>377</v>
      </c>
      <c r="B331" t="s">
        <v>379</v>
      </c>
      <c r="C331" t="s">
        <v>26</v>
      </c>
      <c r="D331" t="s">
        <v>106</v>
      </c>
      <c r="E331" t="s">
        <v>372</v>
      </c>
      <c r="F331">
        <v>30</v>
      </c>
      <c r="G331">
        <v>2.6</v>
      </c>
      <c r="H331">
        <v>78</v>
      </c>
    </row>
    <row r="332" spans="1:8" x14ac:dyDescent="0.25">
      <c r="A332" t="s">
        <v>373</v>
      </c>
      <c r="B332" t="s">
        <v>375</v>
      </c>
      <c r="C332" t="s">
        <v>26</v>
      </c>
      <c r="D332" t="s">
        <v>106</v>
      </c>
      <c r="E332" t="s">
        <v>376</v>
      </c>
      <c r="F332">
        <v>33</v>
      </c>
      <c r="G332">
        <v>2.5</v>
      </c>
      <c r="H332">
        <v>82.5</v>
      </c>
    </row>
    <row r="333" spans="1:8" x14ac:dyDescent="0.25">
      <c r="A333" t="s">
        <v>578</v>
      </c>
      <c r="B333" t="s">
        <v>579</v>
      </c>
      <c r="C333" t="s">
        <v>312</v>
      </c>
      <c r="D333" t="s">
        <v>106</v>
      </c>
      <c r="E333" t="s">
        <v>177</v>
      </c>
      <c r="F333">
        <v>40</v>
      </c>
      <c r="G333">
        <v>2.5</v>
      </c>
      <c r="H333">
        <v>100</v>
      </c>
    </row>
    <row r="334" spans="1:8" x14ac:dyDescent="0.25">
      <c r="A334" t="s">
        <v>580</v>
      </c>
      <c r="B334" t="s">
        <v>581</v>
      </c>
      <c r="C334" t="s">
        <v>312</v>
      </c>
      <c r="D334" t="s">
        <v>106</v>
      </c>
      <c r="E334" t="s">
        <v>177</v>
      </c>
      <c r="F334">
        <v>40</v>
      </c>
      <c r="G334">
        <v>2.6</v>
      </c>
      <c r="H334">
        <v>104</v>
      </c>
    </row>
    <row r="392" spans="1:8" x14ac:dyDescent="0.25">
      <c r="A392" t="s">
        <v>969</v>
      </c>
      <c r="C392" t="s">
        <v>920</v>
      </c>
      <c r="D392" t="s">
        <v>921</v>
      </c>
      <c r="G392" t="s">
        <v>922</v>
      </c>
      <c r="H392" t="s">
        <v>964</v>
      </c>
    </row>
    <row r="393" spans="1:8" x14ac:dyDescent="0.25">
      <c r="A393" t="s">
        <v>970</v>
      </c>
      <c r="C393" t="s">
        <v>925</v>
      </c>
      <c r="D393" t="s">
        <v>926</v>
      </c>
      <c r="G393" t="s">
        <v>927</v>
      </c>
      <c r="H393" t="s">
        <v>971</v>
      </c>
    </row>
    <row r="395" spans="1:8" x14ac:dyDescent="0.25">
      <c r="A395" t="s">
        <v>929</v>
      </c>
      <c r="B395" t="s">
        <v>930</v>
      </c>
      <c r="C395" t="s">
        <v>931</v>
      </c>
      <c r="D395" t="s">
        <v>932</v>
      </c>
      <c r="E395" t="s">
        <v>933</v>
      </c>
      <c r="F395" t="s">
        <v>934</v>
      </c>
      <c r="G395" t="s">
        <v>935</v>
      </c>
      <c r="H395" t="s">
        <v>936</v>
      </c>
    </row>
    <row r="397" spans="1:8" x14ac:dyDescent="0.25">
      <c r="A397" t="s">
        <v>575</v>
      </c>
      <c r="B397" t="s">
        <v>577</v>
      </c>
      <c r="C397" t="s">
        <v>312</v>
      </c>
      <c r="D397" t="s">
        <v>106</v>
      </c>
      <c r="E397" t="s">
        <v>177</v>
      </c>
      <c r="F397">
        <v>40</v>
      </c>
      <c r="G397">
        <v>2.7</v>
      </c>
      <c r="H397">
        <v>108</v>
      </c>
    </row>
    <row r="398" spans="1:8" x14ac:dyDescent="0.25">
      <c r="A398" t="s">
        <v>734</v>
      </c>
      <c r="B398" t="s">
        <v>736</v>
      </c>
      <c r="C398" t="s">
        <v>26</v>
      </c>
      <c r="D398" t="s">
        <v>19</v>
      </c>
      <c r="E398" t="s">
        <v>372</v>
      </c>
      <c r="F398">
        <v>30</v>
      </c>
      <c r="G398">
        <v>1.6</v>
      </c>
      <c r="H398">
        <v>48</v>
      </c>
    </row>
    <row r="399" spans="1:8" x14ac:dyDescent="0.25">
      <c r="A399" t="s">
        <v>691</v>
      </c>
      <c r="B399" t="s">
        <v>693</v>
      </c>
      <c r="C399" t="s">
        <v>61</v>
      </c>
      <c r="D399" t="s">
        <v>19</v>
      </c>
      <c r="E399" t="s">
        <v>376</v>
      </c>
      <c r="F399">
        <v>33</v>
      </c>
      <c r="G399">
        <v>2.8</v>
      </c>
      <c r="H399">
        <v>92.4</v>
      </c>
    </row>
    <row r="400" spans="1:8" x14ac:dyDescent="0.25">
      <c r="A400" t="s">
        <v>694</v>
      </c>
      <c r="B400" t="s">
        <v>695</v>
      </c>
      <c r="C400" t="s">
        <v>61</v>
      </c>
      <c r="D400" t="s">
        <v>19</v>
      </c>
      <c r="E400" t="s">
        <v>376</v>
      </c>
      <c r="F400">
        <v>33</v>
      </c>
      <c r="G400">
        <v>2.9</v>
      </c>
      <c r="H400">
        <v>95.7</v>
      </c>
    </row>
    <row r="401" spans="1:8" x14ac:dyDescent="0.25">
      <c r="A401" t="s">
        <v>438</v>
      </c>
      <c r="B401" t="s">
        <v>440</v>
      </c>
      <c r="C401" t="s">
        <v>26</v>
      </c>
      <c r="D401" t="s">
        <v>106</v>
      </c>
      <c r="E401" t="s">
        <v>372</v>
      </c>
      <c r="F401">
        <v>30</v>
      </c>
      <c r="G401">
        <v>4.0999999999999996</v>
      </c>
      <c r="H401">
        <v>123</v>
      </c>
    </row>
    <row r="402" spans="1:8" x14ac:dyDescent="0.25">
      <c r="A402" t="s">
        <v>431</v>
      </c>
      <c r="B402" t="s">
        <v>433</v>
      </c>
      <c r="C402" t="s">
        <v>18</v>
      </c>
      <c r="D402" t="s">
        <v>106</v>
      </c>
      <c r="E402" t="s">
        <v>372</v>
      </c>
      <c r="F402">
        <v>30</v>
      </c>
      <c r="G402">
        <v>3.9</v>
      </c>
      <c r="H402">
        <v>117</v>
      </c>
    </row>
    <row r="403" spans="1:8" x14ac:dyDescent="0.25">
      <c r="A403" t="s">
        <v>434</v>
      </c>
      <c r="B403" t="s">
        <v>435</v>
      </c>
      <c r="C403" t="s">
        <v>26</v>
      </c>
      <c r="D403" t="s">
        <v>106</v>
      </c>
      <c r="E403" t="s">
        <v>376</v>
      </c>
      <c r="F403">
        <v>33</v>
      </c>
      <c r="G403">
        <v>3.8</v>
      </c>
      <c r="H403">
        <v>125.4</v>
      </c>
    </row>
    <row r="404" spans="1:8" x14ac:dyDescent="0.25">
      <c r="A404" t="s">
        <v>436</v>
      </c>
      <c r="B404" t="s">
        <v>437</v>
      </c>
      <c r="C404" t="s">
        <v>26</v>
      </c>
      <c r="D404" t="s">
        <v>106</v>
      </c>
      <c r="E404" t="s">
        <v>376</v>
      </c>
      <c r="F404">
        <v>33</v>
      </c>
      <c r="G404">
        <v>3.8</v>
      </c>
      <c r="H404">
        <v>125.4</v>
      </c>
    </row>
    <row r="405" spans="1:8" x14ac:dyDescent="0.25">
      <c r="A405" t="s">
        <v>441</v>
      </c>
      <c r="B405" t="s">
        <v>443</v>
      </c>
      <c r="C405" t="s">
        <v>26</v>
      </c>
      <c r="D405" t="s">
        <v>106</v>
      </c>
      <c r="E405" t="s">
        <v>372</v>
      </c>
      <c r="F405">
        <v>30</v>
      </c>
      <c r="G405">
        <v>3.9</v>
      </c>
      <c r="H405">
        <v>117</v>
      </c>
    </row>
    <row r="406" spans="1:8" x14ac:dyDescent="0.25">
      <c r="A406" t="s">
        <v>617</v>
      </c>
      <c r="B406" t="s">
        <v>618</v>
      </c>
      <c r="C406" t="s">
        <v>312</v>
      </c>
      <c r="D406" t="s">
        <v>106</v>
      </c>
      <c r="E406" t="s">
        <v>177</v>
      </c>
      <c r="F406">
        <v>40</v>
      </c>
      <c r="G406">
        <v>2.8</v>
      </c>
      <c r="H406">
        <v>112</v>
      </c>
    </row>
    <row r="407" spans="1:8" x14ac:dyDescent="0.25">
      <c r="A407" t="s">
        <v>619</v>
      </c>
      <c r="B407" t="s">
        <v>620</v>
      </c>
      <c r="C407" t="s">
        <v>312</v>
      </c>
      <c r="D407" t="s">
        <v>106</v>
      </c>
      <c r="E407" t="s">
        <v>177</v>
      </c>
      <c r="F407">
        <v>40</v>
      </c>
      <c r="G407">
        <v>3</v>
      </c>
      <c r="H407">
        <v>120</v>
      </c>
    </row>
    <row r="408" spans="1:8" x14ac:dyDescent="0.25">
      <c r="A408" t="s">
        <v>614</v>
      </c>
      <c r="B408" t="s">
        <v>616</v>
      </c>
      <c r="C408" t="s">
        <v>312</v>
      </c>
      <c r="D408" t="s">
        <v>106</v>
      </c>
      <c r="E408" t="s">
        <v>177</v>
      </c>
      <c r="F408">
        <v>40</v>
      </c>
      <c r="G408">
        <v>2.9</v>
      </c>
      <c r="H408">
        <v>116</v>
      </c>
    </row>
    <row r="409" spans="1:8" x14ac:dyDescent="0.25">
      <c r="A409" t="s">
        <v>625</v>
      </c>
      <c r="B409" t="s">
        <v>627</v>
      </c>
      <c r="C409" t="s">
        <v>61</v>
      </c>
      <c r="D409" t="s">
        <v>19</v>
      </c>
      <c r="E409" t="s">
        <v>372</v>
      </c>
      <c r="F409">
        <v>30</v>
      </c>
      <c r="G409">
        <v>3.9</v>
      </c>
      <c r="H409">
        <v>117</v>
      </c>
    </row>
    <row r="410" spans="1:8" x14ac:dyDescent="0.25">
      <c r="A410" t="s">
        <v>628</v>
      </c>
      <c r="B410" t="s">
        <v>629</v>
      </c>
      <c r="C410" t="s">
        <v>61</v>
      </c>
      <c r="D410" t="s">
        <v>19</v>
      </c>
      <c r="E410" t="s">
        <v>372</v>
      </c>
      <c r="F410">
        <v>30</v>
      </c>
      <c r="G410">
        <v>3.9</v>
      </c>
      <c r="H410">
        <v>117</v>
      </c>
    </row>
    <row r="411" spans="1:8" x14ac:dyDescent="0.25">
      <c r="A411" t="s">
        <v>630</v>
      </c>
      <c r="B411" t="s">
        <v>631</v>
      </c>
      <c r="C411" t="s">
        <v>61</v>
      </c>
      <c r="D411" t="s">
        <v>19</v>
      </c>
      <c r="E411" t="s">
        <v>376</v>
      </c>
      <c r="F411">
        <v>33</v>
      </c>
      <c r="G411">
        <v>4.2</v>
      </c>
      <c r="H411">
        <v>138.6</v>
      </c>
    </row>
    <row r="412" spans="1:8" x14ac:dyDescent="0.25">
      <c r="A412" t="s">
        <v>731</v>
      </c>
      <c r="B412" t="s">
        <v>733</v>
      </c>
      <c r="C412" t="s">
        <v>398</v>
      </c>
      <c r="D412" t="s">
        <v>19</v>
      </c>
      <c r="E412" t="s">
        <v>372</v>
      </c>
      <c r="F412">
        <v>30</v>
      </c>
      <c r="G412">
        <v>2.8</v>
      </c>
      <c r="H412">
        <v>84</v>
      </c>
    </row>
    <row r="413" spans="1:8" x14ac:dyDescent="0.25">
      <c r="A413" t="s">
        <v>448</v>
      </c>
      <c r="B413" t="s">
        <v>450</v>
      </c>
      <c r="C413" t="s">
        <v>26</v>
      </c>
      <c r="D413" t="s">
        <v>106</v>
      </c>
      <c r="E413" t="s">
        <v>17</v>
      </c>
      <c r="F413">
        <v>26.25</v>
      </c>
      <c r="G413">
        <v>3</v>
      </c>
      <c r="H413">
        <v>90</v>
      </c>
    </row>
    <row r="414" spans="1:8" x14ac:dyDescent="0.25">
      <c r="A414" t="s">
        <v>113</v>
      </c>
      <c r="B414" t="s">
        <v>115</v>
      </c>
      <c r="C414" t="s">
        <v>26</v>
      </c>
      <c r="D414" t="s">
        <v>19</v>
      </c>
      <c r="E414" t="s">
        <v>116</v>
      </c>
      <c r="F414">
        <v>27</v>
      </c>
      <c r="G414">
        <v>1.6</v>
      </c>
      <c r="H414">
        <v>96</v>
      </c>
    </row>
    <row r="415" spans="1:8" x14ac:dyDescent="0.25">
      <c r="A415" t="s">
        <v>120</v>
      </c>
      <c r="B415" t="s">
        <v>122</v>
      </c>
      <c r="C415" t="s">
        <v>26</v>
      </c>
      <c r="D415" t="s">
        <v>19</v>
      </c>
      <c r="E415" t="s">
        <v>116</v>
      </c>
      <c r="F415">
        <v>26</v>
      </c>
      <c r="G415">
        <v>1.75</v>
      </c>
      <c r="H415">
        <v>105</v>
      </c>
    </row>
    <row r="416" spans="1:8" x14ac:dyDescent="0.25">
      <c r="A416" t="s">
        <v>117</v>
      </c>
      <c r="B416" t="s">
        <v>119</v>
      </c>
      <c r="C416" t="s">
        <v>26</v>
      </c>
      <c r="D416" t="s">
        <v>19</v>
      </c>
      <c r="E416" t="s">
        <v>116</v>
      </c>
      <c r="F416">
        <v>27</v>
      </c>
      <c r="G416">
        <v>1.6</v>
      </c>
      <c r="H416">
        <v>96</v>
      </c>
    </row>
    <row r="417" spans="1:8" x14ac:dyDescent="0.25">
      <c r="A417" t="s">
        <v>152</v>
      </c>
      <c r="B417" t="s">
        <v>153</v>
      </c>
      <c r="C417" t="s">
        <v>18</v>
      </c>
      <c r="D417" t="s">
        <v>19</v>
      </c>
      <c r="E417" t="s">
        <v>17</v>
      </c>
      <c r="F417">
        <v>26.25</v>
      </c>
      <c r="G417">
        <v>3.2</v>
      </c>
      <c r="H417">
        <v>96</v>
      </c>
    </row>
    <row r="418" spans="1:8" x14ac:dyDescent="0.25">
      <c r="A418" t="s">
        <v>154</v>
      </c>
      <c r="B418" t="s">
        <v>155</v>
      </c>
      <c r="C418" t="s">
        <v>100</v>
      </c>
      <c r="D418" t="s">
        <v>19</v>
      </c>
      <c r="E418" t="s">
        <v>17</v>
      </c>
      <c r="F418">
        <v>26.25</v>
      </c>
      <c r="G418">
        <v>0</v>
      </c>
      <c r="H418">
        <v>0</v>
      </c>
    </row>
    <row r="419" spans="1:8" x14ac:dyDescent="0.25">
      <c r="A419" t="s">
        <v>147</v>
      </c>
      <c r="B419" t="s">
        <v>149</v>
      </c>
      <c r="C419" t="s">
        <v>18</v>
      </c>
      <c r="D419" t="s">
        <v>19</v>
      </c>
      <c r="E419" t="s">
        <v>151</v>
      </c>
      <c r="F419">
        <v>24</v>
      </c>
      <c r="G419">
        <v>0</v>
      </c>
      <c r="H419">
        <v>0</v>
      </c>
    </row>
    <row r="420" spans="1:8" x14ac:dyDescent="0.25">
      <c r="A420" t="s">
        <v>171</v>
      </c>
      <c r="B420" t="s">
        <v>172</v>
      </c>
      <c r="C420" t="s">
        <v>18</v>
      </c>
      <c r="D420" t="s">
        <v>19</v>
      </c>
      <c r="E420" t="s">
        <v>43</v>
      </c>
      <c r="F420">
        <v>30</v>
      </c>
      <c r="G420">
        <v>2.2000000000000002</v>
      </c>
      <c r="H420">
        <v>66</v>
      </c>
    </row>
    <row r="421" spans="1:8" x14ac:dyDescent="0.25">
      <c r="A421" t="s">
        <v>168</v>
      </c>
      <c r="B421" t="s">
        <v>170</v>
      </c>
      <c r="C421" t="s">
        <v>18</v>
      </c>
      <c r="D421" t="s">
        <v>19</v>
      </c>
      <c r="E421" t="s">
        <v>43</v>
      </c>
      <c r="F421">
        <v>30</v>
      </c>
      <c r="G421">
        <v>2.2000000000000002</v>
      </c>
      <c r="H421">
        <v>66</v>
      </c>
    </row>
    <row r="422" spans="1:8" x14ac:dyDescent="0.25">
      <c r="A422" t="s">
        <v>242</v>
      </c>
      <c r="B422" t="s">
        <v>243</v>
      </c>
      <c r="C422" t="s">
        <v>26</v>
      </c>
      <c r="D422" t="s">
        <v>106</v>
      </c>
      <c r="E422" t="s">
        <v>218</v>
      </c>
      <c r="F422">
        <v>20</v>
      </c>
      <c r="G422">
        <v>2.2000000000000002</v>
      </c>
      <c r="H422">
        <v>44</v>
      </c>
    </row>
    <row r="423" spans="1:8" x14ac:dyDescent="0.25">
      <c r="A423" t="s">
        <v>236</v>
      </c>
      <c r="B423" t="s">
        <v>238</v>
      </c>
      <c r="C423" t="s">
        <v>26</v>
      </c>
      <c r="D423" t="s">
        <v>106</v>
      </c>
      <c r="E423" t="s">
        <v>239</v>
      </c>
      <c r="F423">
        <v>10</v>
      </c>
      <c r="G423">
        <v>2.6</v>
      </c>
      <c r="H423">
        <v>26</v>
      </c>
    </row>
    <row r="424" spans="1:8" x14ac:dyDescent="0.25">
      <c r="A424" t="s">
        <v>285</v>
      </c>
      <c r="B424" t="s">
        <v>286</v>
      </c>
      <c r="C424" t="s">
        <v>18</v>
      </c>
      <c r="D424" t="s">
        <v>106</v>
      </c>
      <c r="E424" t="s">
        <v>218</v>
      </c>
      <c r="F424">
        <v>20</v>
      </c>
      <c r="G424">
        <v>2.5</v>
      </c>
      <c r="H424">
        <v>50</v>
      </c>
    </row>
    <row r="425" spans="1:8" x14ac:dyDescent="0.25">
      <c r="A425" t="s">
        <v>224</v>
      </c>
      <c r="B425" t="s">
        <v>226</v>
      </c>
      <c r="C425" t="s">
        <v>227</v>
      </c>
      <c r="D425" t="s">
        <v>106</v>
      </c>
      <c r="E425" t="s">
        <v>904</v>
      </c>
      <c r="F425">
        <v>24</v>
      </c>
      <c r="G425">
        <v>4.75</v>
      </c>
      <c r="H425">
        <v>114</v>
      </c>
    </row>
    <row r="426" spans="1:8" x14ac:dyDescent="0.25">
      <c r="A426" t="s">
        <v>215</v>
      </c>
      <c r="B426" t="s">
        <v>217</v>
      </c>
      <c r="C426" t="s">
        <v>219</v>
      </c>
      <c r="D426" t="s">
        <v>106</v>
      </c>
      <c r="E426" t="s">
        <v>218</v>
      </c>
      <c r="F426">
        <v>20</v>
      </c>
      <c r="G426">
        <v>3</v>
      </c>
      <c r="H426">
        <v>60</v>
      </c>
    </row>
    <row r="427" spans="1:8" x14ac:dyDescent="0.25">
      <c r="A427" t="s">
        <v>220</v>
      </c>
      <c r="B427" t="s">
        <v>222</v>
      </c>
      <c r="C427" t="s">
        <v>18</v>
      </c>
      <c r="D427" t="s">
        <v>106</v>
      </c>
      <c r="E427" t="s">
        <v>223</v>
      </c>
      <c r="F427">
        <v>20</v>
      </c>
      <c r="G427">
        <v>1.7</v>
      </c>
      <c r="H427">
        <v>34</v>
      </c>
    </row>
    <row r="428" spans="1:8" x14ac:dyDescent="0.25">
      <c r="A428" t="s">
        <v>264</v>
      </c>
      <c r="B428" t="s">
        <v>266</v>
      </c>
      <c r="C428" t="s">
        <v>26</v>
      </c>
      <c r="D428" t="s">
        <v>106</v>
      </c>
      <c r="E428" t="s">
        <v>151</v>
      </c>
      <c r="F428">
        <v>24</v>
      </c>
      <c r="G428">
        <v>3.7</v>
      </c>
      <c r="H428">
        <v>88.8</v>
      </c>
    </row>
    <row r="429" spans="1:8" x14ac:dyDescent="0.25">
      <c r="A429" t="s">
        <v>291</v>
      </c>
      <c r="B429" t="s">
        <v>293</v>
      </c>
      <c r="C429" t="s">
        <v>26</v>
      </c>
      <c r="D429" t="s">
        <v>19</v>
      </c>
      <c r="E429" t="s">
        <v>294</v>
      </c>
      <c r="F429">
        <v>30</v>
      </c>
      <c r="G429">
        <v>3.5</v>
      </c>
      <c r="H429">
        <v>105</v>
      </c>
    </row>
    <row r="430" spans="1:8" x14ac:dyDescent="0.25">
      <c r="A430" t="s">
        <v>287</v>
      </c>
      <c r="B430" t="s">
        <v>289</v>
      </c>
      <c r="C430" t="s">
        <v>290</v>
      </c>
      <c r="D430" t="s">
        <v>19</v>
      </c>
      <c r="E430" t="s">
        <v>37</v>
      </c>
      <c r="F430">
        <v>22</v>
      </c>
      <c r="G430">
        <v>3.8</v>
      </c>
      <c r="H430">
        <v>83.6</v>
      </c>
    </row>
    <row r="431" spans="1:8" x14ac:dyDescent="0.25">
      <c r="A431" t="s">
        <v>281</v>
      </c>
      <c r="B431" t="s">
        <v>283</v>
      </c>
      <c r="C431" t="s">
        <v>61</v>
      </c>
      <c r="D431" t="s">
        <v>19</v>
      </c>
      <c r="E431" t="s">
        <v>284</v>
      </c>
      <c r="F431">
        <v>22.5</v>
      </c>
      <c r="G431">
        <v>3</v>
      </c>
      <c r="H431">
        <v>90</v>
      </c>
    </row>
    <row r="432" spans="1:8" x14ac:dyDescent="0.25">
      <c r="A432" t="s">
        <v>261</v>
      </c>
      <c r="B432" t="s">
        <v>263</v>
      </c>
      <c r="C432" t="s">
        <v>61</v>
      </c>
      <c r="D432" t="s">
        <v>19</v>
      </c>
      <c r="E432" t="s">
        <v>90</v>
      </c>
      <c r="F432">
        <v>30</v>
      </c>
      <c r="G432">
        <v>2.6</v>
      </c>
      <c r="H432">
        <v>78</v>
      </c>
    </row>
    <row r="433" spans="1:8" x14ac:dyDescent="0.25">
      <c r="A433" t="s">
        <v>275</v>
      </c>
      <c r="B433" t="s">
        <v>277</v>
      </c>
      <c r="C433" t="s">
        <v>26</v>
      </c>
      <c r="D433" t="s">
        <v>19</v>
      </c>
      <c r="E433" t="s">
        <v>274</v>
      </c>
      <c r="F433">
        <v>24</v>
      </c>
      <c r="G433">
        <v>4</v>
      </c>
      <c r="H433">
        <v>96</v>
      </c>
    </row>
    <row r="434" spans="1:8" x14ac:dyDescent="0.25">
      <c r="A434" t="s">
        <v>271</v>
      </c>
      <c r="B434" t="s">
        <v>273</v>
      </c>
      <c r="C434" t="s">
        <v>26</v>
      </c>
      <c r="D434" t="s">
        <v>19</v>
      </c>
      <c r="E434" t="s">
        <v>274</v>
      </c>
      <c r="F434">
        <v>24</v>
      </c>
      <c r="G434">
        <v>4</v>
      </c>
      <c r="H434">
        <v>96</v>
      </c>
    </row>
    <row r="435" spans="1:8" x14ac:dyDescent="0.25">
      <c r="A435" t="s">
        <v>246</v>
      </c>
      <c r="B435" t="s">
        <v>248</v>
      </c>
      <c r="C435" t="s">
        <v>18</v>
      </c>
      <c r="D435" t="s">
        <v>106</v>
      </c>
      <c r="E435" t="s">
        <v>249</v>
      </c>
      <c r="F435">
        <v>15</v>
      </c>
      <c r="G435">
        <v>6</v>
      </c>
      <c r="H435">
        <v>180</v>
      </c>
    </row>
    <row r="436" spans="1:8" x14ac:dyDescent="0.25">
      <c r="A436" t="s">
        <v>250</v>
      </c>
      <c r="B436" t="s">
        <v>251</v>
      </c>
      <c r="C436" t="s">
        <v>18</v>
      </c>
      <c r="D436" t="s">
        <v>106</v>
      </c>
      <c r="E436" t="s">
        <v>249</v>
      </c>
      <c r="F436">
        <v>15</v>
      </c>
      <c r="G436">
        <v>7</v>
      </c>
      <c r="H436">
        <v>210</v>
      </c>
    </row>
    <row r="437" spans="1:8" x14ac:dyDescent="0.25">
      <c r="A437" t="s">
        <v>858</v>
      </c>
      <c r="B437" t="s">
        <v>860</v>
      </c>
      <c r="C437" t="s">
        <v>26</v>
      </c>
      <c r="D437" t="s">
        <v>106</v>
      </c>
      <c r="E437" t="s">
        <v>861</v>
      </c>
      <c r="F437">
        <v>36</v>
      </c>
      <c r="G437">
        <v>2</v>
      </c>
      <c r="H437">
        <v>48</v>
      </c>
    </row>
    <row r="438" spans="1:8" x14ac:dyDescent="0.25">
      <c r="A438" t="s">
        <v>875</v>
      </c>
      <c r="B438" t="s">
        <v>877</v>
      </c>
      <c r="C438" t="s">
        <v>26</v>
      </c>
      <c r="D438" t="s">
        <v>106</v>
      </c>
      <c r="E438" t="s">
        <v>861</v>
      </c>
      <c r="F438">
        <v>48</v>
      </c>
      <c r="G438">
        <v>1.85</v>
      </c>
      <c r="H438">
        <v>44.4</v>
      </c>
    </row>
    <row r="439" spans="1:8" x14ac:dyDescent="0.25">
      <c r="A439" t="s">
        <v>865</v>
      </c>
      <c r="B439" t="s">
        <v>867</v>
      </c>
      <c r="C439" t="s">
        <v>26</v>
      </c>
      <c r="D439" t="s">
        <v>106</v>
      </c>
      <c r="E439" t="s">
        <v>43</v>
      </c>
      <c r="F439">
        <v>30</v>
      </c>
      <c r="G439">
        <v>1.9</v>
      </c>
      <c r="H439">
        <v>57</v>
      </c>
    </row>
    <row r="440" spans="1:8" x14ac:dyDescent="0.25">
      <c r="A440" t="s">
        <v>862</v>
      </c>
      <c r="B440" t="s">
        <v>867</v>
      </c>
      <c r="C440" t="s">
        <v>965</v>
      </c>
      <c r="D440" t="s">
        <v>106</v>
      </c>
      <c r="E440" t="s">
        <v>43</v>
      </c>
      <c r="F440">
        <v>30</v>
      </c>
      <c r="G440">
        <v>1.8</v>
      </c>
      <c r="H440">
        <v>54</v>
      </c>
    </row>
    <row r="441" spans="1:8" x14ac:dyDescent="0.25">
      <c r="A441" t="s">
        <v>837</v>
      </c>
      <c r="B441" t="s">
        <v>839</v>
      </c>
      <c r="C441" t="s">
        <v>26</v>
      </c>
      <c r="D441" t="s">
        <v>106</v>
      </c>
      <c r="E441" t="s">
        <v>43</v>
      </c>
      <c r="F441">
        <v>30</v>
      </c>
      <c r="G441">
        <v>1.5</v>
      </c>
      <c r="H441">
        <v>45</v>
      </c>
    </row>
    <row r="442" spans="1:8" x14ac:dyDescent="0.25">
      <c r="A442" t="s">
        <v>840</v>
      </c>
      <c r="B442" t="s">
        <v>842</v>
      </c>
      <c r="C442" t="s">
        <v>26</v>
      </c>
      <c r="D442" t="s">
        <v>106</v>
      </c>
      <c r="E442" t="s">
        <v>43</v>
      </c>
      <c r="F442">
        <v>30</v>
      </c>
      <c r="G442">
        <v>1.55</v>
      </c>
      <c r="H442">
        <v>46.5</v>
      </c>
    </row>
    <row r="457" spans="1:8" x14ac:dyDescent="0.25">
      <c r="A457" t="s">
        <v>317</v>
      </c>
      <c r="B457" t="s">
        <v>319</v>
      </c>
      <c r="C457" t="s">
        <v>26</v>
      </c>
      <c r="D457" t="s">
        <v>106</v>
      </c>
      <c r="E457" t="s">
        <v>320</v>
      </c>
      <c r="F457">
        <v>40</v>
      </c>
      <c r="G457">
        <v>1.2</v>
      </c>
      <c r="H457">
        <v>48</v>
      </c>
    </row>
    <row r="458" spans="1:8" x14ac:dyDescent="0.25">
      <c r="A458" t="s">
        <v>323</v>
      </c>
      <c r="B458" t="s">
        <v>324</v>
      </c>
      <c r="C458" t="s">
        <v>26</v>
      </c>
      <c r="D458" t="s">
        <v>106</v>
      </c>
      <c r="E458" t="s">
        <v>320</v>
      </c>
      <c r="F458">
        <v>40</v>
      </c>
      <c r="G458">
        <v>1.2</v>
      </c>
      <c r="H458">
        <v>48</v>
      </c>
    </row>
    <row r="459" spans="1:8" x14ac:dyDescent="0.25">
      <c r="A459" t="s">
        <v>317</v>
      </c>
      <c r="B459" t="s">
        <v>321</v>
      </c>
      <c r="C459" t="s">
        <v>322</v>
      </c>
      <c r="D459" t="s">
        <v>106</v>
      </c>
      <c r="E459" t="s">
        <v>320</v>
      </c>
      <c r="F459">
        <v>40</v>
      </c>
      <c r="G459">
        <v>1.2</v>
      </c>
      <c r="H459">
        <v>48</v>
      </c>
    </row>
    <row r="460" spans="1:8" x14ac:dyDescent="0.25">
      <c r="A460" t="s">
        <v>323</v>
      </c>
      <c r="B460" t="s">
        <v>325</v>
      </c>
      <c r="C460" t="s">
        <v>322</v>
      </c>
      <c r="D460" t="s">
        <v>106</v>
      </c>
      <c r="E460" t="s">
        <v>320</v>
      </c>
      <c r="F460">
        <v>40</v>
      </c>
      <c r="G460">
        <v>1.2</v>
      </c>
      <c r="H460">
        <v>48</v>
      </c>
    </row>
    <row r="461" spans="1:8" x14ac:dyDescent="0.25">
      <c r="A461" t="s">
        <v>331</v>
      </c>
      <c r="B461" t="s">
        <v>332</v>
      </c>
      <c r="C461" t="s">
        <v>18</v>
      </c>
      <c r="D461" t="s">
        <v>106</v>
      </c>
      <c r="E461" t="s">
        <v>333</v>
      </c>
      <c r="F461">
        <v>30</v>
      </c>
      <c r="G461">
        <v>1.75</v>
      </c>
      <c r="H461">
        <v>52.5</v>
      </c>
    </row>
    <row r="462" spans="1:8" x14ac:dyDescent="0.25">
      <c r="A462" t="s">
        <v>334</v>
      </c>
      <c r="B462" t="s">
        <v>335</v>
      </c>
      <c r="C462" t="s">
        <v>18</v>
      </c>
      <c r="D462" t="s">
        <v>106</v>
      </c>
      <c r="E462" t="s">
        <v>177</v>
      </c>
      <c r="F462">
        <v>40</v>
      </c>
      <c r="G462">
        <v>1.35</v>
      </c>
      <c r="H462">
        <v>54</v>
      </c>
    </row>
    <row r="463" spans="1:8" x14ac:dyDescent="0.25">
      <c r="A463" t="s">
        <v>336</v>
      </c>
      <c r="B463" t="s">
        <v>337</v>
      </c>
      <c r="C463" t="s">
        <v>18</v>
      </c>
      <c r="D463" t="s">
        <v>106</v>
      </c>
      <c r="E463" t="s">
        <v>177</v>
      </c>
      <c r="F463">
        <v>40</v>
      </c>
      <c r="G463">
        <v>1.35</v>
      </c>
      <c r="H463">
        <v>54</v>
      </c>
    </row>
    <row r="464" spans="1:8" x14ac:dyDescent="0.25">
      <c r="A464" t="s">
        <v>338</v>
      </c>
      <c r="B464" t="s">
        <v>339</v>
      </c>
      <c r="C464" t="s">
        <v>18</v>
      </c>
      <c r="D464" t="s">
        <v>106</v>
      </c>
      <c r="E464" t="s">
        <v>177</v>
      </c>
      <c r="F464">
        <v>40</v>
      </c>
      <c r="G464">
        <v>1.47</v>
      </c>
      <c r="H464">
        <v>58.8</v>
      </c>
    </row>
    <row r="522" spans="1:8" x14ac:dyDescent="0.25">
      <c r="A522" t="s">
        <v>969</v>
      </c>
      <c r="C522" t="s">
        <v>920</v>
      </c>
      <c r="D522" t="s">
        <v>921</v>
      </c>
      <c r="G522" t="s">
        <v>922</v>
      </c>
      <c r="H522" t="s">
        <v>966</v>
      </c>
    </row>
    <row r="523" spans="1:8" x14ac:dyDescent="0.25">
      <c r="A523" t="s">
        <v>970</v>
      </c>
      <c r="C523" t="s">
        <v>925</v>
      </c>
      <c r="D523" t="s">
        <v>926</v>
      </c>
      <c r="G523" t="s">
        <v>927</v>
      </c>
      <c r="H523" t="s">
        <v>971</v>
      </c>
    </row>
    <row r="525" spans="1:8" x14ac:dyDescent="0.25">
      <c r="A525" t="s">
        <v>929</v>
      </c>
      <c r="B525" t="s">
        <v>930</v>
      </c>
      <c r="C525" t="s">
        <v>931</v>
      </c>
      <c r="D525" t="s">
        <v>932</v>
      </c>
      <c r="E525" t="s">
        <v>933</v>
      </c>
      <c r="F525" t="s">
        <v>934</v>
      </c>
      <c r="G525" t="s">
        <v>935</v>
      </c>
      <c r="H525" t="s">
        <v>936</v>
      </c>
    </row>
    <row r="527" spans="1:8" x14ac:dyDescent="0.25">
      <c r="A527" t="s">
        <v>326</v>
      </c>
      <c r="B527" t="s">
        <v>339</v>
      </c>
      <c r="C527" t="s">
        <v>967</v>
      </c>
      <c r="D527" t="s">
        <v>106</v>
      </c>
      <c r="E527" t="s">
        <v>177</v>
      </c>
      <c r="F527">
        <v>40</v>
      </c>
      <c r="G527">
        <v>1.47</v>
      </c>
      <c r="H527">
        <v>58.8</v>
      </c>
    </row>
    <row r="528" spans="1:8" x14ac:dyDescent="0.25">
      <c r="A528" t="s">
        <v>329</v>
      </c>
      <c r="B528" t="s">
        <v>339</v>
      </c>
      <c r="C528" t="s">
        <v>968</v>
      </c>
      <c r="D528" t="s">
        <v>106</v>
      </c>
      <c r="E528" t="s">
        <v>177</v>
      </c>
      <c r="F528">
        <v>40</v>
      </c>
      <c r="G528">
        <v>1.47</v>
      </c>
      <c r="H528">
        <v>58.8</v>
      </c>
    </row>
    <row r="529" spans="1:8" x14ac:dyDescent="0.25">
      <c r="A529" t="s">
        <v>340</v>
      </c>
      <c r="B529" t="s">
        <v>342</v>
      </c>
      <c r="C529" t="s">
        <v>312</v>
      </c>
      <c r="D529" t="s">
        <v>106</v>
      </c>
      <c r="E529" t="s">
        <v>177</v>
      </c>
      <c r="F529">
        <v>40</v>
      </c>
      <c r="G529">
        <v>1.5</v>
      </c>
      <c r="H529">
        <v>60</v>
      </c>
    </row>
    <row r="530" spans="1:8" x14ac:dyDescent="0.25">
      <c r="A530" t="s">
        <v>343</v>
      </c>
      <c r="B530" t="s">
        <v>344</v>
      </c>
      <c r="C530" t="s">
        <v>312</v>
      </c>
      <c r="D530" t="s">
        <v>106</v>
      </c>
      <c r="E530" t="s">
        <v>177</v>
      </c>
      <c r="F530">
        <v>40</v>
      </c>
      <c r="G530">
        <v>1.6</v>
      </c>
      <c r="H530">
        <v>64</v>
      </c>
    </row>
    <row r="531" spans="1:8" x14ac:dyDescent="0.25">
      <c r="A531" t="s">
        <v>303</v>
      </c>
      <c r="B531" t="s">
        <v>304</v>
      </c>
      <c r="C531" t="s">
        <v>18</v>
      </c>
      <c r="D531" t="s">
        <v>106</v>
      </c>
      <c r="E531" t="s">
        <v>299</v>
      </c>
      <c r="F531">
        <v>10</v>
      </c>
      <c r="G531">
        <v>2.25</v>
      </c>
      <c r="H531">
        <v>22.5</v>
      </c>
    </row>
    <row r="532" spans="1:8" x14ac:dyDescent="0.25">
      <c r="A532" t="s">
        <v>305</v>
      </c>
      <c r="B532" t="s">
        <v>306</v>
      </c>
      <c r="C532" t="s">
        <v>18</v>
      </c>
      <c r="D532" t="s">
        <v>106</v>
      </c>
      <c r="E532" t="s">
        <v>299</v>
      </c>
      <c r="F532">
        <v>10</v>
      </c>
      <c r="G532">
        <v>2.35</v>
      </c>
      <c r="H532">
        <v>23.5</v>
      </c>
    </row>
    <row r="533" spans="1:8" x14ac:dyDescent="0.25">
      <c r="A533" t="s">
        <v>307</v>
      </c>
      <c r="B533" t="s">
        <v>308</v>
      </c>
      <c r="C533" t="s">
        <v>18</v>
      </c>
      <c r="D533" t="s">
        <v>106</v>
      </c>
      <c r="E533" t="s">
        <v>299</v>
      </c>
      <c r="F533">
        <v>10</v>
      </c>
      <c r="G533">
        <v>2.4</v>
      </c>
      <c r="H533">
        <v>24</v>
      </c>
    </row>
    <row r="534" spans="1:8" x14ac:dyDescent="0.25">
      <c r="A534" t="s">
        <v>315</v>
      </c>
      <c r="B534" t="s">
        <v>316</v>
      </c>
      <c r="C534" t="s">
        <v>18</v>
      </c>
      <c r="D534" t="s">
        <v>106</v>
      </c>
      <c r="E534" t="s">
        <v>218</v>
      </c>
      <c r="F534">
        <v>20</v>
      </c>
      <c r="G534">
        <v>2.5</v>
      </c>
      <c r="H534">
        <v>50</v>
      </c>
    </row>
    <row r="535" spans="1:8" x14ac:dyDescent="0.25">
      <c r="A535" t="s">
        <v>296</v>
      </c>
      <c r="B535" t="s">
        <v>298</v>
      </c>
      <c r="C535" t="s">
        <v>18</v>
      </c>
      <c r="D535" t="s">
        <v>106</v>
      </c>
      <c r="E535" t="s">
        <v>299</v>
      </c>
      <c r="F535">
        <v>10</v>
      </c>
      <c r="G535">
        <v>2.2000000000000002</v>
      </c>
      <c r="H535">
        <v>22</v>
      </c>
    </row>
    <row r="536" spans="1:8" x14ac:dyDescent="0.25">
      <c r="A536" t="s">
        <v>301</v>
      </c>
      <c r="B536" t="s">
        <v>302</v>
      </c>
      <c r="C536" t="s">
        <v>18</v>
      </c>
      <c r="D536" t="s">
        <v>106</v>
      </c>
      <c r="E536" t="s">
        <v>299</v>
      </c>
      <c r="F536">
        <v>10</v>
      </c>
      <c r="G536">
        <v>2.25</v>
      </c>
      <c r="H536">
        <v>22.5</v>
      </c>
    </row>
    <row r="537" spans="1:8" x14ac:dyDescent="0.25">
      <c r="A537" t="s">
        <v>192</v>
      </c>
      <c r="B537" t="s">
        <v>194</v>
      </c>
      <c r="C537" t="s">
        <v>18</v>
      </c>
      <c r="D537" t="s">
        <v>106</v>
      </c>
      <c r="E537" t="s">
        <v>195</v>
      </c>
      <c r="F537">
        <v>30</v>
      </c>
      <c r="G537">
        <v>4.8</v>
      </c>
      <c r="H537">
        <v>144</v>
      </c>
    </row>
    <row r="538" spans="1:8" x14ac:dyDescent="0.25">
      <c r="A538" t="s">
        <v>205</v>
      </c>
      <c r="B538" t="s">
        <v>206</v>
      </c>
      <c r="C538" t="s">
        <v>18</v>
      </c>
      <c r="D538" t="s">
        <v>106</v>
      </c>
      <c r="E538" t="s">
        <v>195</v>
      </c>
      <c r="F538">
        <v>30</v>
      </c>
      <c r="G538">
        <v>4.9000000000000004</v>
      </c>
      <c r="H538">
        <v>147</v>
      </c>
    </row>
    <row r="539" spans="1:8" x14ac:dyDescent="0.25">
      <c r="A539" t="s">
        <v>209</v>
      </c>
      <c r="B539" t="s">
        <v>210</v>
      </c>
      <c r="C539" t="s">
        <v>18</v>
      </c>
      <c r="D539" t="s">
        <v>106</v>
      </c>
      <c r="E539" t="s">
        <v>195</v>
      </c>
      <c r="F539">
        <v>30</v>
      </c>
      <c r="G539">
        <v>4.9000000000000004</v>
      </c>
      <c r="H539">
        <v>147</v>
      </c>
    </row>
    <row r="540" spans="1:8" x14ac:dyDescent="0.25">
      <c r="A540" t="s">
        <v>201</v>
      </c>
      <c r="B540" t="s">
        <v>202</v>
      </c>
      <c r="C540" t="s">
        <v>18</v>
      </c>
      <c r="D540" t="s">
        <v>106</v>
      </c>
      <c r="E540" t="s">
        <v>43</v>
      </c>
      <c r="F540">
        <v>30</v>
      </c>
      <c r="G540">
        <v>6</v>
      </c>
      <c r="H540">
        <v>180</v>
      </c>
    </row>
    <row r="541" spans="1:8" x14ac:dyDescent="0.25">
      <c r="A541" t="s">
        <v>211</v>
      </c>
      <c r="B541" t="s">
        <v>212</v>
      </c>
      <c r="C541" t="s">
        <v>18</v>
      </c>
      <c r="D541" t="s">
        <v>106</v>
      </c>
      <c r="E541" t="s">
        <v>213</v>
      </c>
      <c r="F541">
        <v>22</v>
      </c>
      <c r="G541">
        <v>4</v>
      </c>
      <c r="H541">
        <v>88</v>
      </c>
    </row>
    <row r="542" spans="1:8" x14ac:dyDescent="0.25">
      <c r="A542" t="s">
        <v>196</v>
      </c>
      <c r="B542" t="s">
        <v>198</v>
      </c>
      <c r="C542" t="s">
        <v>26</v>
      </c>
      <c r="D542" t="s">
        <v>106</v>
      </c>
      <c r="E542" t="s">
        <v>195</v>
      </c>
      <c r="F542">
        <v>30</v>
      </c>
      <c r="G542">
        <v>4.8</v>
      </c>
      <c r="H542">
        <v>144</v>
      </c>
    </row>
    <row r="543" spans="1:8" x14ac:dyDescent="0.25">
      <c r="A543" t="s">
        <v>203</v>
      </c>
      <c r="B543" t="s">
        <v>204</v>
      </c>
      <c r="C543" t="s">
        <v>26</v>
      </c>
      <c r="D543" t="s">
        <v>106</v>
      </c>
      <c r="E543" t="s">
        <v>195</v>
      </c>
      <c r="F543">
        <v>30</v>
      </c>
      <c r="G543">
        <v>5.3</v>
      </c>
      <c r="H543">
        <v>159</v>
      </c>
    </row>
    <row r="544" spans="1:8" x14ac:dyDescent="0.25">
      <c r="A544" t="s">
        <v>207</v>
      </c>
      <c r="B544" t="s">
        <v>208</v>
      </c>
      <c r="C544" t="s">
        <v>26</v>
      </c>
      <c r="D544" t="s">
        <v>106</v>
      </c>
      <c r="E544" t="s">
        <v>195</v>
      </c>
      <c r="F544">
        <v>30</v>
      </c>
      <c r="G544">
        <v>5</v>
      </c>
      <c r="H544">
        <v>150</v>
      </c>
    </row>
    <row r="545" spans="1:8" x14ac:dyDescent="0.25">
      <c r="A545" t="s">
        <v>761</v>
      </c>
      <c r="B545" t="s">
        <v>763</v>
      </c>
      <c r="C545" t="s">
        <v>38</v>
      </c>
      <c r="D545" t="s">
        <v>106</v>
      </c>
      <c r="E545" t="s">
        <v>764</v>
      </c>
      <c r="F545">
        <v>24</v>
      </c>
      <c r="G545">
        <v>13.4</v>
      </c>
      <c r="H545">
        <v>321.60000000000002</v>
      </c>
    </row>
    <row r="546" spans="1:8" x14ac:dyDescent="0.25">
      <c r="A546" t="s">
        <v>757</v>
      </c>
      <c r="B546" t="s">
        <v>759</v>
      </c>
      <c r="C546" t="s">
        <v>38</v>
      </c>
      <c r="D546" t="s">
        <v>106</v>
      </c>
      <c r="E546" t="s">
        <v>760</v>
      </c>
      <c r="F546">
        <v>9</v>
      </c>
      <c r="G546">
        <v>1.6</v>
      </c>
      <c r="H546">
        <v>57.6</v>
      </c>
    </row>
    <row r="547" spans="1:8" x14ac:dyDescent="0.25">
      <c r="A547" t="s">
        <v>162</v>
      </c>
      <c r="B547" t="s">
        <v>164</v>
      </c>
      <c r="C547" t="s">
        <v>26</v>
      </c>
      <c r="D547" t="s">
        <v>19</v>
      </c>
      <c r="E547" t="s">
        <v>160</v>
      </c>
      <c r="F547">
        <v>18</v>
      </c>
      <c r="G547">
        <v>5.8</v>
      </c>
      <c r="H547">
        <v>139.19999999999999</v>
      </c>
    </row>
    <row r="548" spans="1:8" x14ac:dyDescent="0.25">
      <c r="A548" t="s">
        <v>157</v>
      </c>
      <c r="B548" t="s">
        <v>159</v>
      </c>
      <c r="C548" t="s">
        <v>26</v>
      </c>
      <c r="D548" t="s">
        <v>19</v>
      </c>
      <c r="E548" t="s">
        <v>160</v>
      </c>
      <c r="F548">
        <v>20</v>
      </c>
      <c r="G548">
        <v>8.3000000000000007</v>
      </c>
      <c r="H548">
        <v>199.2</v>
      </c>
    </row>
    <row r="549" spans="1:8" x14ac:dyDescent="0.25">
      <c r="A549" t="s">
        <v>165</v>
      </c>
      <c r="B549" t="s">
        <v>167</v>
      </c>
      <c r="C549" t="s">
        <v>26</v>
      </c>
      <c r="D549" t="s">
        <v>19</v>
      </c>
      <c r="E549" t="s">
        <v>17</v>
      </c>
      <c r="F549">
        <v>26.25</v>
      </c>
      <c r="G549">
        <v>2.2999999999999998</v>
      </c>
      <c r="H549">
        <v>69</v>
      </c>
    </row>
    <row r="550" spans="1:8" x14ac:dyDescent="0.25">
      <c r="A550" t="s">
        <v>386</v>
      </c>
      <c r="B550" t="s">
        <v>388</v>
      </c>
      <c r="C550" t="s">
        <v>18</v>
      </c>
      <c r="D550" t="s">
        <v>19</v>
      </c>
      <c r="E550" t="s">
        <v>299</v>
      </c>
      <c r="F550">
        <v>10</v>
      </c>
      <c r="G550">
        <v>4.9000000000000004</v>
      </c>
      <c r="H550">
        <v>49</v>
      </c>
    </row>
    <row r="551" spans="1:8" x14ac:dyDescent="0.25">
      <c r="A551" t="s">
        <v>389</v>
      </c>
      <c r="B551" t="s">
        <v>390</v>
      </c>
      <c r="C551" t="s">
        <v>18</v>
      </c>
      <c r="D551" t="s">
        <v>19</v>
      </c>
      <c r="E551" t="s">
        <v>299</v>
      </c>
      <c r="F551">
        <v>10</v>
      </c>
      <c r="G551">
        <v>4.9000000000000004</v>
      </c>
      <c r="H551">
        <v>49</v>
      </c>
    </row>
    <row r="552" spans="1:8" x14ac:dyDescent="0.25">
      <c r="A552" t="s">
        <v>350</v>
      </c>
      <c r="B552" t="s">
        <v>352</v>
      </c>
      <c r="C552" t="s">
        <v>18</v>
      </c>
      <c r="D552" t="s">
        <v>106</v>
      </c>
      <c r="E552" t="s">
        <v>353</v>
      </c>
      <c r="F552">
        <v>15</v>
      </c>
      <c r="G552">
        <v>3.65</v>
      </c>
      <c r="H552">
        <v>54.75</v>
      </c>
    </row>
    <row r="553" spans="1:8" x14ac:dyDescent="0.25">
      <c r="A553" t="s">
        <v>354</v>
      </c>
      <c r="B553" t="s">
        <v>355</v>
      </c>
      <c r="C553" t="s">
        <v>18</v>
      </c>
      <c r="D553" t="s">
        <v>106</v>
      </c>
      <c r="E553" t="s">
        <v>353</v>
      </c>
      <c r="F553">
        <v>15</v>
      </c>
      <c r="G553">
        <v>3.85</v>
      </c>
      <c r="H553">
        <v>57.75</v>
      </c>
    </row>
    <row r="554" spans="1:8" x14ac:dyDescent="0.25">
      <c r="A554" t="s">
        <v>381</v>
      </c>
      <c r="B554" t="s">
        <v>383</v>
      </c>
      <c r="C554" t="s">
        <v>38</v>
      </c>
      <c r="D554" t="s">
        <v>19</v>
      </c>
      <c r="E554" t="s">
        <v>299</v>
      </c>
      <c r="F554">
        <v>10</v>
      </c>
      <c r="G554">
        <v>3.9</v>
      </c>
      <c r="H554">
        <v>39</v>
      </c>
    </row>
    <row r="555" spans="1:8" x14ac:dyDescent="0.25">
      <c r="A555" t="s">
        <v>384</v>
      </c>
      <c r="B555" t="s">
        <v>385</v>
      </c>
      <c r="C555" t="s">
        <v>38</v>
      </c>
      <c r="D555" t="s">
        <v>19</v>
      </c>
      <c r="E555" t="s">
        <v>299</v>
      </c>
      <c r="F555">
        <v>10</v>
      </c>
      <c r="G555">
        <v>3.9</v>
      </c>
      <c r="H555">
        <v>39</v>
      </c>
    </row>
    <row r="556" spans="1:8" x14ac:dyDescent="0.25">
      <c r="A556" t="s">
        <v>361</v>
      </c>
      <c r="B556" t="s">
        <v>362</v>
      </c>
      <c r="C556" t="s">
        <v>26</v>
      </c>
      <c r="D556" t="s">
        <v>106</v>
      </c>
      <c r="E556" t="s">
        <v>359</v>
      </c>
      <c r="F556">
        <v>22</v>
      </c>
      <c r="G556">
        <v>1.9</v>
      </c>
      <c r="H556">
        <v>41.8</v>
      </c>
    </row>
    <row r="557" spans="1:8" x14ac:dyDescent="0.25">
      <c r="A557" t="s">
        <v>356</v>
      </c>
      <c r="B557" t="s">
        <v>358</v>
      </c>
      <c r="C557" t="s">
        <v>26</v>
      </c>
      <c r="D557" t="s">
        <v>106</v>
      </c>
      <c r="E557" t="s">
        <v>359</v>
      </c>
      <c r="F557">
        <v>22</v>
      </c>
      <c r="G557">
        <v>1.9</v>
      </c>
      <c r="H557">
        <v>41.8</v>
      </c>
    </row>
    <row r="558" spans="1:8" x14ac:dyDescent="0.25">
      <c r="A558" t="s">
        <v>363</v>
      </c>
      <c r="B558" t="s">
        <v>364</v>
      </c>
      <c r="C558" t="s">
        <v>26</v>
      </c>
      <c r="D558" t="s">
        <v>106</v>
      </c>
      <c r="E558" t="s">
        <v>353</v>
      </c>
      <c r="F558">
        <v>15</v>
      </c>
      <c r="G558">
        <v>1.9</v>
      </c>
      <c r="H558">
        <v>28.5</v>
      </c>
    </row>
    <row r="559" spans="1:8" x14ac:dyDescent="0.25">
      <c r="A559" t="s">
        <v>365</v>
      </c>
      <c r="B559" t="s">
        <v>366</v>
      </c>
      <c r="C559" t="s">
        <v>26</v>
      </c>
      <c r="D559" t="s">
        <v>106</v>
      </c>
      <c r="E559" t="s">
        <v>353</v>
      </c>
      <c r="F559">
        <v>15</v>
      </c>
      <c r="G559">
        <v>1.9</v>
      </c>
      <c r="H559">
        <v>28.5</v>
      </c>
    </row>
    <row r="560" spans="1:8" x14ac:dyDescent="0.25">
      <c r="A560" t="s">
        <v>367</v>
      </c>
      <c r="B560" t="s">
        <v>368</v>
      </c>
      <c r="C560" t="s">
        <v>26</v>
      </c>
      <c r="D560" t="s">
        <v>106</v>
      </c>
      <c r="E560" t="s">
        <v>353</v>
      </c>
      <c r="F560">
        <v>15</v>
      </c>
      <c r="G560">
        <v>1.9</v>
      </c>
      <c r="H560">
        <v>28.5</v>
      </c>
    </row>
    <row r="561" spans="1:8" x14ac:dyDescent="0.25">
      <c r="A561" t="s">
        <v>130</v>
      </c>
      <c r="B561" t="s">
        <v>132</v>
      </c>
      <c r="C561" t="s">
        <v>127</v>
      </c>
      <c r="D561" t="s">
        <v>106</v>
      </c>
      <c r="E561" t="s">
        <v>133</v>
      </c>
      <c r="F561">
        <v>40</v>
      </c>
      <c r="G561">
        <v>3.6</v>
      </c>
      <c r="H561">
        <v>144</v>
      </c>
    </row>
    <row r="562" spans="1:8" x14ac:dyDescent="0.25">
      <c r="A562" t="s">
        <v>134</v>
      </c>
      <c r="B562" t="s">
        <v>135</v>
      </c>
      <c r="C562" t="s">
        <v>127</v>
      </c>
      <c r="D562" t="s">
        <v>106</v>
      </c>
      <c r="E562" t="s">
        <v>126</v>
      </c>
      <c r="F562">
        <v>40</v>
      </c>
      <c r="G562">
        <v>3.3</v>
      </c>
      <c r="H562">
        <v>132</v>
      </c>
    </row>
    <row r="563" spans="1:8" x14ac:dyDescent="0.25">
      <c r="A563" t="s">
        <v>144</v>
      </c>
      <c r="B563" t="s">
        <v>145</v>
      </c>
      <c r="C563" t="s">
        <v>127</v>
      </c>
      <c r="D563" t="s">
        <v>106</v>
      </c>
      <c r="E563" t="s">
        <v>139</v>
      </c>
      <c r="F563">
        <v>24</v>
      </c>
      <c r="G563">
        <v>3.4</v>
      </c>
      <c r="H563">
        <v>81.599999999999994</v>
      </c>
    </row>
    <row r="564" spans="1:8" x14ac:dyDescent="0.25">
      <c r="A564" t="s">
        <v>136</v>
      </c>
      <c r="B564" t="s">
        <v>138</v>
      </c>
      <c r="C564" t="s">
        <v>127</v>
      </c>
      <c r="D564" t="s">
        <v>106</v>
      </c>
      <c r="E564" t="s">
        <v>918</v>
      </c>
      <c r="F564">
        <v>24</v>
      </c>
      <c r="G564">
        <v>4.9000000000000004</v>
      </c>
      <c r="H564">
        <v>117.6</v>
      </c>
    </row>
    <row r="565" spans="1:8" x14ac:dyDescent="0.25">
      <c r="A565" t="s">
        <v>140</v>
      </c>
      <c r="B565" t="s">
        <v>141</v>
      </c>
      <c r="C565" t="s">
        <v>127</v>
      </c>
      <c r="D565" t="s">
        <v>106</v>
      </c>
      <c r="E565" t="s">
        <v>139</v>
      </c>
      <c r="F565">
        <v>24</v>
      </c>
      <c r="G565">
        <v>4.0999999999999996</v>
      </c>
      <c r="H565">
        <v>98.4</v>
      </c>
    </row>
    <row r="566" spans="1:8" x14ac:dyDescent="0.25">
      <c r="A566" t="s">
        <v>142</v>
      </c>
      <c r="B566" t="s">
        <v>143</v>
      </c>
      <c r="C566" t="s">
        <v>127</v>
      </c>
      <c r="D566" t="s">
        <v>106</v>
      </c>
      <c r="E566" t="s">
        <v>918</v>
      </c>
      <c r="F566">
        <v>24</v>
      </c>
      <c r="G566">
        <v>3.9</v>
      </c>
      <c r="H566">
        <v>93.6</v>
      </c>
    </row>
    <row r="567" spans="1:8" x14ac:dyDescent="0.25">
      <c r="A567" t="s">
        <v>123</v>
      </c>
      <c r="B567" t="s">
        <v>125</v>
      </c>
      <c r="C567" t="s">
        <v>127</v>
      </c>
      <c r="D567" t="s">
        <v>106</v>
      </c>
      <c r="E567" t="s">
        <v>126</v>
      </c>
      <c r="F567">
        <v>40</v>
      </c>
      <c r="G567">
        <v>4.7</v>
      </c>
      <c r="H567">
        <v>188</v>
      </c>
    </row>
    <row r="568" spans="1:8" x14ac:dyDescent="0.25">
      <c r="A568" t="s">
        <v>128</v>
      </c>
      <c r="B568" t="s">
        <v>129</v>
      </c>
      <c r="C568" t="s">
        <v>127</v>
      </c>
      <c r="D568" t="s">
        <v>106</v>
      </c>
      <c r="E568" t="s">
        <v>126</v>
      </c>
      <c r="F568">
        <v>40</v>
      </c>
      <c r="G568">
        <v>4.5</v>
      </c>
      <c r="H568">
        <v>180</v>
      </c>
    </row>
    <row r="569" spans="1:8" x14ac:dyDescent="0.25">
      <c r="A569" t="s">
        <v>49</v>
      </c>
      <c r="B569" t="s">
        <v>51</v>
      </c>
      <c r="C569" t="s">
        <v>52</v>
      </c>
      <c r="D569" t="s">
        <v>19</v>
      </c>
      <c r="E569" t="s">
        <v>37</v>
      </c>
      <c r="F569">
        <v>22</v>
      </c>
      <c r="G569">
        <v>4.2</v>
      </c>
      <c r="H569">
        <v>92.4</v>
      </c>
    </row>
    <row r="570" spans="1:8" x14ac:dyDescent="0.25">
      <c r="A570" t="s">
        <v>53</v>
      </c>
      <c r="B570" t="s">
        <v>54</v>
      </c>
      <c r="C570" t="s">
        <v>52</v>
      </c>
      <c r="D570" t="s">
        <v>19</v>
      </c>
      <c r="E570" t="s">
        <v>37</v>
      </c>
      <c r="F570">
        <v>22</v>
      </c>
      <c r="G570">
        <v>4.2</v>
      </c>
      <c r="H570">
        <v>92.4</v>
      </c>
    </row>
    <row r="571" spans="1:8" x14ac:dyDescent="0.25">
      <c r="A571" t="s">
        <v>655</v>
      </c>
      <c r="B571" t="s">
        <v>657</v>
      </c>
      <c r="C571" t="s">
        <v>52</v>
      </c>
      <c r="D571" t="s">
        <v>19</v>
      </c>
      <c r="E571" t="s">
        <v>372</v>
      </c>
      <c r="F571">
        <v>30</v>
      </c>
      <c r="G571">
        <v>1.95</v>
      </c>
      <c r="H571">
        <v>58.5</v>
      </c>
    </row>
    <row r="572" spans="1:8" x14ac:dyDescent="0.25">
      <c r="A572" t="s">
        <v>667</v>
      </c>
      <c r="B572" t="s">
        <v>669</v>
      </c>
      <c r="C572" t="s">
        <v>52</v>
      </c>
      <c r="D572" t="s">
        <v>19</v>
      </c>
      <c r="E572" t="s">
        <v>372</v>
      </c>
      <c r="F572">
        <v>30</v>
      </c>
      <c r="G572">
        <v>1.8</v>
      </c>
      <c r="H572">
        <v>54</v>
      </c>
    </row>
    <row r="587" spans="1:8" x14ac:dyDescent="0.25">
      <c r="A587" t="s">
        <v>913</v>
      </c>
      <c r="B587" t="s">
        <v>914</v>
      </c>
      <c r="C587" t="s">
        <v>26</v>
      </c>
      <c r="E587" t="s">
        <v>915</v>
      </c>
      <c r="F587">
        <v>38</v>
      </c>
      <c r="G587">
        <v>0</v>
      </c>
      <c r="H5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Price List by Category</vt:lpstr>
      <vt:lpstr>Alphabetical Index</vt:lpstr>
      <vt:lpstr>Sheet1</vt:lpstr>
      <vt:lpstr>Sheet2</vt:lpstr>
      <vt:lpstr>Sheet1!test</vt:lpstr>
      <vt:lpstr>Sheet2!test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OPER4</cp:lastModifiedBy>
  <cp:lastPrinted>2026-02-26T19:30:23Z</cp:lastPrinted>
  <dcterms:created xsi:type="dcterms:W3CDTF">2026-02-10T18:37:29Z</dcterms:created>
  <dcterms:modified xsi:type="dcterms:W3CDTF">2026-03-04T00:19:42Z</dcterms:modified>
</cp:coreProperties>
</file>